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jun/GitStudy/human_A/"/>
    </mc:Choice>
  </mc:AlternateContent>
  <xr:revisionPtr revIDLastSave="0" documentId="13_ncr:1_{0B9C046D-5D87-A646-8D05-2DC5300E08BC}" xr6:coauthVersionLast="47" xr6:coauthVersionMax="47" xr10:uidLastSave="{00000000-0000-0000-0000-000000000000}"/>
  <bookViews>
    <workbookView xWindow="0" yWindow="660" windowWidth="22780" windowHeight="17500" activeTab="1" xr2:uid="{00000000-000D-0000-FFFF-FFFF00000000}"/>
  </bookViews>
  <sheets>
    <sheet name="문서변경이력" sheetId="1" r:id="rId1"/>
    <sheet name="자율주행 로봇 개발_WBS" sheetId="2" r:id="rId2"/>
  </sheets>
  <definedNames>
    <definedName name="_xlnm._FilterDatabase" localSheetId="1" hidden="1">'자율주행 로봇 개발_WBS'!$K$1:$K$32</definedName>
    <definedName name="_xlnm.Print_Area" localSheetId="1">'자율주행 로봇 개발_WBS'!$A$1:$BM$5</definedName>
    <definedName name="_xlnm.Print_Titles" localSheetId="1">'자율주행 로봇 개발_WBS'!$3:$5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2" l="1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K6" i="2"/>
  <c r="J6" i="2"/>
  <c r="I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dh.choi</author>
  </authors>
  <commentList>
    <comment ref="K3" authorId="0" shapeId="0" xr:uid="{00000000-0006-0000-0100-000001000000}">
      <text>
        <r>
          <rPr>
            <sz val="9"/>
            <color rgb="FF000000"/>
            <rFont val="Tahoma"/>
            <family val="2"/>
          </rPr>
          <t xml:space="preserve">1. </t>
        </r>
        <r>
          <rPr>
            <sz val="9"/>
            <color rgb="FF000000"/>
            <rFont val="돋움"/>
            <family val="2"/>
            <charset val="129"/>
          </rPr>
          <t>가중치의</t>
        </r>
        <r>
          <rPr>
            <sz val="9"/>
            <color rgb="FF000000"/>
            <rFont val="Tahoma"/>
            <family val="2"/>
          </rPr>
          <t xml:space="preserve"> Sum 100
2. </t>
        </r>
        <r>
          <rPr>
            <sz val="9"/>
            <color rgb="FF000000"/>
            <rFont val="돋움"/>
            <family val="2"/>
            <charset val="129"/>
          </rPr>
          <t>항목당</t>
        </r>
        <r>
          <rPr>
            <sz val="9"/>
            <color rgb="FF000000"/>
            <rFont val="Tahoma"/>
            <family val="2"/>
          </rPr>
          <t xml:space="preserve"> 0~10 </t>
        </r>
        <r>
          <rPr>
            <sz val="9"/>
            <color rgb="FF000000"/>
            <rFont val="돋움"/>
            <family val="2"/>
            <charset val="129"/>
          </rPr>
          <t>점수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부여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<sst xmlns="http://schemas.openxmlformats.org/spreadsheetml/2006/main" count="157" uniqueCount="124">
  <si>
    <r>
      <rPr>
        <b/>
        <sz val="10"/>
        <color rgb="FF000000"/>
        <rFont val="맑은 고딕"/>
        <family val="2"/>
        <charset val="129"/>
      </rPr>
      <t>정상 상태(Normal Baseline) 정의</t>
    </r>
    <r>
      <rPr>
        <sz val="10"/>
        <color rgb="FF000000"/>
        <rFont val="맑은 고딕"/>
        <family val="2"/>
        <charset val="129"/>
      </rPr>
      <t xml:space="preserve">
  1) 배관/점적 핀 신규 교체 및 세척 직후의 '정상(Normal)' 데이터 구간 추출
  2) 시간대별/생육기별 정상 패턴 군집화
  3) 센서 캘리브레이션 로그 확인</t>
    </r>
  </si>
  <si>
    <r>
      <rPr>
        <b/>
        <sz val="10"/>
        <color rgb="FF000000"/>
        <rFont val="맑은 고딕"/>
        <family val="2"/>
        <charset val="129"/>
      </rPr>
      <t>검증 및 임계점(Threshold) 설정</t>
    </r>
    <r>
      <rPr>
        <sz val="10"/>
        <color rgb="FF000000"/>
        <rFont val="맑은 고딕"/>
        <family val="2"/>
        <charset val="129"/>
      </rPr>
      <t xml:space="preserve">
  1) 가짜(막힘 모사) 실데이터 주입을 통한 이상 감지 테스트
  2) 오알람(False Alarm)을 최소화하는 최적의 알람 임계점 설정</t>
    </r>
  </si>
  <si>
    <r>
      <rPr>
        <b/>
        <sz val="10"/>
        <color rgb="FF000000"/>
        <rFont val="맑은 고딕"/>
        <family val="2"/>
        <charset val="129"/>
      </rPr>
      <t>데이터 연동 및 수집</t>
    </r>
    <r>
      <rPr>
        <sz val="10"/>
        <color rgb="FF000000"/>
        <rFont val="맑은 고딕"/>
        <family val="2"/>
        <charset val="129"/>
      </rPr>
      <t xml:space="preserve">
  1) 내부 통신(RS-485, Modbus 등) 기반 센서 원시 데이터(Raw data) 수집
  2) 외부 환경 데이터(기상청 등) 필요시 연동
  3) Storage Server(DB) 스키마 설계 및 데이터 적재 파이프라인 구축</t>
    </r>
  </si>
  <si>
    <r>
      <rPr>
        <b/>
        <sz val="10"/>
        <color rgb="FF000000"/>
        <rFont val="맑은 고딕"/>
        <family val="2"/>
        <charset val="129"/>
      </rPr>
      <t>데이터 정제 (Data Cleansing)</t>
    </r>
    <r>
      <rPr>
        <sz val="10"/>
        <color rgb="FF000000"/>
        <rFont val="맑은 고딕"/>
        <family val="2"/>
        <charset val="129"/>
      </rPr>
      <t xml:space="preserve">
  1) 센서 결측치 확인 및 도메인 기반 보간(Interpolation) 처리
  2) 장비 오작동/노이즈로 인한 이상치(Outlier) 제거 룰셋 정의
  3) 물리적 센서 캘리브레이션(영점 조절) 로그와 데이터 정합성 확인</t>
    </r>
  </si>
  <si>
    <r>
      <rPr>
        <b/>
        <sz val="10"/>
        <color rgb="FF000000"/>
        <rFont val="맑은 고딕"/>
        <family val="2"/>
        <charset val="129"/>
      </rPr>
      <t>디자인</t>
    </r>
    <r>
      <rPr>
        <sz val="10"/>
        <color rgb="FF000000"/>
        <rFont val="맑은 고딕"/>
        <family val="2"/>
        <charset val="129"/>
      </rPr>
      <t>(기본MVP &gt;  이미지 참고　＞ figma 레이아웃)
  1) reference 리스트업
  2) Figma 작성</t>
    </r>
  </si>
  <si>
    <t>■ M2MCx 자율주행 로봇 개발 - WBS ('22년)</t>
  </si>
  <si>
    <r>
      <t xml:space="preserve">BE 개발
</t>
    </r>
    <r>
      <rPr>
        <sz val="10"/>
        <color rgb="FF000000"/>
        <rFont val="맑은 고딕"/>
        <family val="2"/>
        <charset val="129"/>
      </rPr>
      <t xml:space="preserve">  1) rest API 
  2) 웹소켓</t>
    </r>
  </si>
  <si>
    <t>수행 Task</t>
  </si>
  <si>
    <t>■ 변경 이력</t>
  </si>
  <si>
    <t>Plan</t>
  </si>
  <si>
    <t>Status</t>
  </si>
  <si>
    <t>추진
과제명</t>
  </si>
  <si>
    <t>수정 내용</t>
  </si>
  <si>
    <t>담당자명</t>
  </si>
  <si>
    <t>최초 작성</t>
  </si>
  <si>
    <t>산출물명</t>
  </si>
  <si>
    <t>API 명세서</t>
  </si>
  <si>
    <t>와이어프레임</t>
  </si>
  <si>
    <t>아키텍처 구성도</t>
  </si>
  <si>
    <t>예정</t>
  </si>
  <si>
    <t>기획 및 요구사항 분석</t>
  </si>
  <si>
    <t>데이터 분석 및 모델링</t>
  </si>
  <si>
    <t xml:space="preserve">EDA 및 데이터 전처리 </t>
  </si>
  <si>
    <r>
      <t xml:space="preserve">FE 개발
</t>
    </r>
    <r>
      <rPr>
        <sz val="10"/>
        <color rgb="FF000000"/>
        <rFont val="맑은 고딕"/>
        <family val="2"/>
        <charset val="129"/>
      </rPr>
      <t xml:space="preserve">  1) 메인페이지
  2) 팝업 페이지</t>
    </r>
  </si>
  <si>
    <t>W11</t>
  </si>
  <si>
    <t>W16</t>
  </si>
  <si>
    <t>W22</t>
  </si>
  <si>
    <t>W15</t>
  </si>
  <si>
    <t>W14</t>
  </si>
  <si>
    <t>W19</t>
  </si>
  <si>
    <t>W21</t>
  </si>
  <si>
    <t>W18</t>
  </si>
  <si>
    <t>W17</t>
  </si>
  <si>
    <t>W20</t>
  </si>
  <si>
    <t>W10</t>
  </si>
  <si>
    <t>W23</t>
  </si>
  <si>
    <t>W24</t>
  </si>
  <si>
    <t>W12</t>
  </si>
  <si>
    <t>W13</t>
  </si>
  <si>
    <t>W26</t>
  </si>
  <si>
    <t>W25</t>
  </si>
  <si>
    <t>W27</t>
  </si>
  <si>
    <t>W28</t>
  </si>
  <si>
    <t>W30</t>
  </si>
  <si>
    <t>W31</t>
  </si>
  <si>
    <t>W29</t>
  </si>
  <si>
    <t>W32</t>
  </si>
  <si>
    <t>11월</t>
  </si>
  <si>
    <t>W50</t>
  </si>
  <si>
    <t>W39</t>
  </si>
  <si>
    <t>W49</t>
  </si>
  <si>
    <t>W42</t>
  </si>
  <si>
    <t>W36</t>
  </si>
  <si>
    <t>3월</t>
  </si>
  <si>
    <t>W41</t>
  </si>
  <si>
    <t>W46</t>
  </si>
  <si>
    <t>W37</t>
  </si>
  <si>
    <t xml:space="preserve">순서 </t>
  </si>
  <si>
    <t>W38</t>
  </si>
  <si>
    <t>2월</t>
  </si>
  <si>
    <t>5월</t>
  </si>
  <si>
    <t>W43</t>
  </si>
  <si>
    <t>W35</t>
  </si>
  <si>
    <t>8월</t>
  </si>
  <si>
    <t>W03</t>
  </si>
  <si>
    <t>W48</t>
  </si>
  <si>
    <t>W01</t>
  </si>
  <si>
    <t>W34</t>
  </si>
  <si>
    <t>W04</t>
  </si>
  <si>
    <t>W33</t>
  </si>
  <si>
    <t>W52</t>
  </si>
  <si>
    <t>W47</t>
  </si>
  <si>
    <t>W02</t>
  </si>
  <si>
    <t>W45</t>
  </si>
  <si>
    <t>W40</t>
  </si>
  <si>
    <t>W51</t>
  </si>
  <si>
    <t>일자</t>
  </si>
  <si>
    <t>W44</t>
  </si>
  <si>
    <t>10월</t>
  </si>
  <si>
    <t>12월</t>
  </si>
  <si>
    <t>N/A</t>
  </si>
  <si>
    <t>W06</t>
  </si>
  <si>
    <t>6월</t>
  </si>
  <si>
    <t>W09</t>
  </si>
  <si>
    <t>4월</t>
  </si>
  <si>
    <t>최현석</t>
  </si>
  <si>
    <t>작성자</t>
  </si>
  <si>
    <t>비고</t>
  </si>
  <si>
    <t>버전</t>
  </si>
  <si>
    <t>7월</t>
  </si>
  <si>
    <t>W08</t>
  </si>
  <si>
    <t>W05</t>
  </si>
  <si>
    <t>김현준</t>
  </si>
  <si>
    <t>W07</t>
  </si>
  <si>
    <t>9월</t>
  </si>
  <si>
    <t>1월</t>
  </si>
  <si>
    <t>NA</t>
  </si>
  <si>
    <t>ver 1.0.1</t>
  </si>
  <si>
    <t>데이터 수집 명세서</t>
  </si>
  <si>
    <t>Task
가중치</t>
  </si>
  <si>
    <t>기간
(Day)</t>
  </si>
  <si>
    <r>
      <rPr>
        <b/>
        <sz val="10"/>
        <color rgb="FF000000"/>
        <rFont val="맑은 고딕"/>
        <family val="2"/>
        <charset val="129"/>
      </rPr>
      <t xml:space="preserve">필수 시스템 아키텍처 설계
</t>
    </r>
    <r>
      <rPr>
        <sz val="10"/>
        <color rgb="FF000000"/>
        <rFont val="맑은 고딕"/>
        <family val="2"/>
        <charset val="129"/>
      </rPr>
      <t xml:space="preserve"> 1) 이후에 mlops, devops ppt로 각각 flow 차트 작성</t>
    </r>
  </si>
  <si>
    <r>
      <rPr>
        <b/>
        <sz val="10"/>
        <color rgb="FF000000"/>
        <rFont val="맑은 고딕"/>
        <family val="2"/>
        <charset val="129"/>
      </rPr>
      <t>가설 설정</t>
    </r>
    <r>
      <rPr>
        <sz val="10"/>
        <color rgb="FF000000"/>
        <rFont val="맑은 고딕"/>
        <family val="2"/>
        <charset val="129"/>
      </rPr>
      <t xml:space="preserve">
  1) 정상 데이터를 활용한 AutoEncoder 아키텍처 설계
  2) 시계열 특성을 반영한 재구성 오차(Reconstruction Error) 학습</t>
    </r>
  </si>
  <si>
    <t>완료</t>
  </si>
  <si>
    <t>ERD</t>
  </si>
  <si>
    <r>
      <rPr>
        <b/>
        <sz val="10"/>
        <color rgb="FF000000"/>
        <rFont val="맑은 고딕"/>
        <family val="2"/>
        <charset val="129"/>
      </rPr>
      <t>파생 변수(Feature) 생성</t>
    </r>
    <r>
      <rPr>
        <sz val="10"/>
        <color rgb="FF000000"/>
        <rFont val="맑은 고딕"/>
        <family val="2"/>
        <charset val="129"/>
      </rPr>
      <t xml:space="preserve">
  1) 유체 저항 지수 생성 (압력/유량 수식 적용)
  2) 누적 염분 부하량 계산 (공급 EC와 배액 EC 차이 누적)
  3) pH 불안정성 지수 산출 (침전 발생 임계점 6.5 초과 유지 시간 계산)</t>
    </r>
  </si>
  <si>
    <r>
      <rPr>
        <b/>
        <sz val="10"/>
        <color rgb="FF000000"/>
        <rFont val="맑은 고딕"/>
        <family val="2"/>
        <charset val="129"/>
      </rPr>
      <t>문제 정의 및 목표 수립</t>
    </r>
    <r>
      <rPr>
        <sz val="10"/>
        <color rgb="FF000000"/>
        <rFont val="맑은 고딕"/>
        <family val="2"/>
        <charset val="129"/>
      </rPr>
      <t xml:space="preserve">
  1) 양액 염분(화학적) 막힘 현상 타겟팅 및 주요 원인 분석
  2) 예지보전(AutoEncoder 기반) 최종 목표 및 KPI 수립 (예: 막힘 징후 3일 전 탐지)
  3) 전체 과제 일정 및 산출물 정의 </t>
    </r>
  </si>
  <si>
    <t>한승보</t>
  </si>
  <si>
    <r>
      <t xml:space="preserve">로컬에서 인프라 구축
</t>
    </r>
    <r>
      <rPr>
        <sz val="10"/>
        <color rgb="FF000000"/>
        <rFont val="맑은 고딕"/>
        <family val="2"/>
        <charset val="129"/>
      </rPr>
      <t xml:space="preserve">  1) 실시간 스트리밍 테스트
  2) CICD 테스트 </t>
    </r>
  </si>
  <si>
    <r>
      <rPr>
        <b/>
        <sz val="10"/>
        <color rgb="FF000000"/>
        <rFont val="맑은 고딕"/>
        <family val="2"/>
        <charset val="129"/>
      </rPr>
      <t>스마트팜 도메인 환경 분석</t>
    </r>
    <r>
      <rPr>
        <sz val="10"/>
        <color rgb="FF000000"/>
        <rFont val="맑은 고딕"/>
        <family val="2"/>
        <charset val="129"/>
      </rPr>
      <t xml:space="preserve">
  1) 농가 온실 환경(온/습도, 광량) 및 양액 제어기 스펙 확인
  2) 현장 센서(압력, 유량, EC, pH) 설치 위치 및 물리적 한계점 파악
  3) 기존 농가의 세척(플러싱, 산처리) 주기 및 조치 이력 파악</t>
    </r>
  </si>
  <si>
    <t>진행중</t>
  </si>
  <si>
    <t>모델생성
  1) 
  2) 오알람(False Alarm)을 최소화하는 최적의 알람 임계점 설정</t>
  </si>
  <si>
    <t>모델검증
  1) 
  2) 오알람(False Alarm)을 최소화하는 최적의 알람 임계점 설정</t>
  </si>
  <si>
    <t>HumanIT - AI 기반의 양액 펌프 막힘 및 이상감지 원인 분류</t>
  </si>
  <si>
    <t>착수</t>
  </si>
  <si>
    <t>종료</t>
  </si>
  <si>
    <t>데이터 수집 및 파이프라인 구축</t>
  </si>
  <si>
    <t>완료,진행중,지연중,예정</t>
  </si>
  <si>
    <t>ML, Devops
Flow chart(ppt)</t>
  </si>
  <si>
    <r>
      <t xml:space="preserve">DB 
  </t>
    </r>
    <r>
      <rPr>
        <sz val="10"/>
        <color rgb="FF000000"/>
        <rFont val="맑은 고딕"/>
        <family val="2"/>
        <charset val="129"/>
      </rPr>
      <t xml:space="preserve">1) ERD 설계
</t>
    </r>
  </si>
  <si>
    <t>시스템 개발</t>
  </si>
  <si>
    <r>
      <t xml:space="preserve">클라우드로 인프라
</t>
    </r>
    <r>
      <rPr>
        <sz val="10"/>
        <color rgb="FF000000"/>
        <rFont val="맑은 고딕"/>
        <family val="2"/>
        <charset val="129"/>
      </rPr>
      <t xml:space="preserve">  1) 로컬 마이그레이션
  2) 알림 SNS</t>
    </r>
  </si>
  <si>
    <t>오윤석</t>
  </si>
  <si>
    <t>전처리 주피터노트북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</si>
</sst>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1">
    <numFmt numFmtId="164" formatCode="mm&quot;월&quot;\ dd&quot;일&quot;"/>
    <numFmt numFmtId="165" formatCode="0_);[Red]\(0\)"/>
    <numFmt numFmtId="166" formatCode="0.0%"/>
    <numFmt numFmtId="167" formatCode="mm&quot;월&quot;\ &quot;10일&quot;"/>
    <numFmt numFmtId="168" formatCode="mm&quot;월&quot;\ &quot;17일&quot;"/>
    <numFmt numFmtId="169" formatCode="mm&quot;월&quot;\ &quot;24일&quot;"/>
    <numFmt numFmtId="170" formatCode="mm&quot;월&quot;\ &quot;07일&quot;"/>
    <numFmt numFmtId="171" formatCode="mm&quot;월&quot;\ &quot;14일&quot;"/>
    <numFmt numFmtId="172" formatCode="mm&quot;월&quot;\ &quot;21일&quot;"/>
    <numFmt numFmtId="173" formatCode="mm&quot;월&quot;\ &quot;28일&quot;"/>
    <numFmt numFmtId="174" formatCode="mm&quot;월&quot;\ &quot;04일&quot;"/>
    <numFmt numFmtId="175" formatCode="mm&quot;월&quot;\ &quot;11일&quot;"/>
    <numFmt numFmtId="176" formatCode="mm&quot;월&quot;\ &quot;18일&quot;"/>
    <numFmt numFmtId="177" formatCode="mm&quot;월&quot;\ &quot;25일&quot;"/>
    <numFmt numFmtId="178" formatCode="mm&quot;월&quot;\ &quot;02일&quot;"/>
    <numFmt numFmtId="179" formatCode="mm&quot;월&quot;\ &quot;09일&quot;"/>
    <numFmt numFmtId="180" formatCode="mm&quot;월&quot;\ &quot;16일&quot;"/>
    <numFmt numFmtId="181" formatCode="mm&quot;월&quot;\ &quot;23일&quot;"/>
    <numFmt numFmtId="182" formatCode="mm&quot;월&quot;\ &quot;30일&quot;"/>
    <numFmt numFmtId="183" formatCode="mm&quot;월&quot;\ &quot;13일&quot;"/>
    <numFmt numFmtId="184" formatCode="mm&quot;월&quot;\ &quot;20일&quot;"/>
    <numFmt numFmtId="185" formatCode="mm&quot;월&quot;\ &quot;27일&quot;"/>
    <numFmt numFmtId="186" formatCode="mm&quot;월&quot;\ &quot;01일&quot;"/>
    <numFmt numFmtId="187" formatCode="mm&quot;월&quot;\ &quot;08일&quot;"/>
    <numFmt numFmtId="188" formatCode="mm&quot;월&quot;\ &quot;15일&quot;"/>
    <numFmt numFmtId="189" formatCode="mm&quot;월&quot;\ &quot;22일&quot;"/>
    <numFmt numFmtId="190" formatCode="mm&quot;월&quot;\ &quot;29일&quot;"/>
    <numFmt numFmtId="191" formatCode="mm&quot;월&quot;\ &quot;05일&quot;"/>
    <numFmt numFmtId="192" formatCode="mm&quot;월&quot;\ &quot;19일&quot;"/>
    <numFmt numFmtId="193" formatCode="mm&quot;월&quot;\ &quot;26일&quot;"/>
    <numFmt numFmtId="194" formatCode="mm&quot;월&quot;\ &quot;12일&quot;"/>
  </numFmts>
  <fonts count="14">
    <font>
      <sz val="11"/>
      <color rgb="FF000000"/>
      <name val="맑은 고딕"/>
    </font>
    <font>
      <sz val="10"/>
      <color rgb="FF000000"/>
      <name val="맑은 고딕"/>
      <family val="2"/>
      <charset val="129"/>
    </font>
    <font>
      <b/>
      <sz val="10"/>
      <color rgb="FF000000"/>
      <name val="맑은 고딕"/>
      <family val="2"/>
      <charset val="129"/>
    </font>
    <font>
      <sz val="9"/>
      <color rgb="FFFFFFFF"/>
      <name val="맑은 고딕"/>
      <family val="2"/>
      <charset val="129"/>
    </font>
    <font>
      <sz val="9"/>
      <color rgb="FF000000"/>
      <name val="맑은 고딕"/>
      <family val="2"/>
      <charset val="129"/>
    </font>
    <font>
      <b/>
      <sz val="12"/>
      <color rgb="FF000000"/>
      <name val="맑은 고딕"/>
      <family val="2"/>
      <charset val="129"/>
    </font>
    <font>
      <b/>
      <sz val="9"/>
      <color rgb="FF000000"/>
      <name val="맑은 고딕"/>
      <family val="2"/>
      <charset val="129"/>
    </font>
    <font>
      <b/>
      <sz val="11"/>
      <color rgb="FF000000"/>
      <name val="맑은 고딕"/>
      <family val="2"/>
      <charset val="129"/>
    </font>
    <font>
      <sz val="8"/>
      <color rgb="FF000000"/>
      <name val="맑은 고딕"/>
      <family val="2"/>
      <charset val="129"/>
    </font>
    <font>
      <b/>
      <sz val="14"/>
      <color rgb="FF000000"/>
      <name val="맑은 고딕"/>
      <family val="2"/>
      <charset val="129"/>
    </font>
    <font>
      <sz val="6"/>
      <color rgb="FF7F7F7F"/>
      <name val="맑은 고딕"/>
      <family val="2"/>
      <charset val="129"/>
    </font>
    <font>
      <sz val="9"/>
      <color rgb="FF000000"/>
      <name val="Tahoma"/>
      <family val="2"/>
    </font>
    <font>
      <sz val="9"/>
      <color rgb="FF000000"/>
      <name val="돋움"/>
      <family val="2"/>
      <charset val="129"/>
    </font>
    <font>
      <sz val="11"/>
      <color rgb="FF000000"/>
      <name val="맑은 고딕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FBFBF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7F7F7F"/>
      </right>
      <top/>
      <bottom style="thin">
        <color rgb="FF000000"/>
      </bottom>
      <diagonal/>
    </border>
    <border>
      <left style="thin">
        <color rgb="FF808080"/>
      </left>
      <right/>
      <top/>
      <bottom style="thin">
        <color rgb="FF000000"/>
      </bottom>
      <diagonal/>
    </border>
    <border>
      <left style="thin">
        <color rgb="FFFFFFFF"/>
      </left>
      <right style="double">
        <color auto="1"/>
      </right>
      <top style="thin">
        <color rgb="FFFFFFFF"/>
      </top>
      <bottom style="thin">
        <color auto="1"/>
      </bottom>
      <diagonal/>
    </border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auto="1"/>
      </bottom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BFBFBF"/>
      </right>
      <top style="thin">
        <color auto="1"/>
      </top>
      <bottom style="thin">
        <color rgb="FF000000"/>
      </bottom>
      <diagonal/>
    </border>
    <border>
      <left/>
      <right style="thin">
        <color rgb="FF7F7F7F"/>
      </right>
      <top style="thin">
        <color auto="1"/>
      </top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/>
      <right style="thin">
        <color rgb="FF808080"/>
      </right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rgb="FFD9D9D9"/>
      </right>
      <top/>
      <bottom style="thin">
        <color rgb="FF000000"/>
      </bottom>
      <diagonal/>
    </border>
    <border>
      <left/>
      <right style="thin">
        <color rgb="FFD9D9D9"/>
      </right>
      <top style="thin">
        <color auto="1"/>
      </top>
      <bottom style="thin">
        <color auto="1"/>
      </bottom>
      <diagonal/>
    </border>
    <border>
      <left/>
      <right style="thin">
        <color rgb="FFD9D9D9"/>
      </right>
      <top/>
      <bottom style="thin">
        <color auto="1"/>
      </bottom>
      <diagonal/>
    </border>
    <border>
      <left style="thin">
        <color rgb="FF808080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rgb="FF808080"/>
      </right>
      <top style="thin">
        <color auto="1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FFFFFF"/>
      </left>
      <right style="thin">
        <color rgb="FFFFFFFF"/>
      </right>
      <top style="thin">
        <color auto="1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 style="thin">
        <color auto="1"/>
      </top>
      <bottom/>
      <diagonal/>
    </border>
    <border>
      <left/>
      <right style="thin">
        <color rgb="FFFFFFFF"/>
      </right>
      <top style="thin">
        <color auto="1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auto="1"/>
      </bottom>
      <diagonal/>
    </border>
    <border>
      <left/>
      <right style="thin">
        <color rgb="FFFFFFFF"/>
      </right>
      <top/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double">
        <color auto="1"/>
      </right>
      <top/>
      <bottom style="thin">
        <color rgb="FFFFFFFF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9" fontId="13" fillId="0" borderId="0">
      <alignment vertical="center"/>
    </xf>
  </cellStyleXfs>
  <cellXfs count="15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165" fontId="1" fillId="0" borderId="0" xfId="0" applyNumberFormat="1" applyFont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0" fontId="5" fillId="0" borderId="0" xfId="0" applyFont="1">
      <alignment vertical="center"/>
    </xf>
    <xf numFmtId="165" fontId="2" fillId="2" borderId="4" xfId="0" applyNumberFormat="1" applyFont="1" applyFill="1" applyBorder="1" applyAlignment="1">
      <alignment horizontal="center" vertical="center" wrapText="1"/>
    </xf>
    <xf numFmtId="0" fontId="4" fillId="0" borderId="5" xfId="0" applyFont="1" applyBorder="1">
      <alignment vertical="center"/>
    </xf>
    <xf numFmtId="0" fontId="6" fillId="0" borderId="0" xfId="0" applyFont="1" applyAlignment="1">
      <alignment horizontal="right" vertical="center"/>
    </xf>
    <xf numFmtId="0" fontId="7" fillId="0" borderId="0" xfId="0" applyFont="1">
      <alignment vertical="center"/>
    </xf>
    <xf numFmtId="14" fontId="1" fillId="0" borderId="6" xfId="0" applyNumberFormat="1" applyFont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3" borderId="0" xfId="0" applyFont="1" applyFill="1" applyAlignment="1">
      <alignment vertical="top"/>
    </xf>
    <xf numFmtId="0" fontId="6" fillId="3" borderId="0" xfId="0" applyFont="1" applyFill="1" applyAlignment="1">
      <alignment horizontal="right" vertical="top"/>
    </xf>
    <xf numFmtId="14" fontId="4" fillId="3" borderId="0" xfId="0" applyNumberFormat="1" applyFont="1" applyFill="1" applyAlignment="1">
      <alignment horizontal="center" vertical="top"/>
    </xf>
    <xf numFmtId="165" fontId="4" fillId="3" borderId="8" xfId="0" applyNumberFormat="1" applyFont="1" applyFill="1" applyBorder="1" applyAlignment="1">
      <alignment horizontal="center" vertical="top"/>
    </xf>
    <xf numFmtId="166" fontId="2" fillId="3" borderId="9" xfId="1" applyNumberFormat="1" applyFont="1" applyFill="1" applyBorder="1" applyAlignment="1">
      <alignment horizontal="right" vertical="top"/>
    </xf>
    <xf numFmtId="165" fontId="1" fillId="3" borderId="10" xfId="0" applyNumberFormat="1" applyFont="1" applyFill="1" applyBorder="1" applyAlignment="1">
      <alignment horizontal="center" vertical="top"/>
    </xf>
    <xf numFmtId="165" fontId="1" fillId="3" borderId="0" xfId="0" applyNumberFormat="1" applyFont="1" applyFill="1" applyAlignment="1">
      <alignment horizontal="center" vertical="top"/>
    </xf>
    <xf numFmtId="0" fontId="1" fillId="4" borderId="0" xfId="0" applyFont="1" applyFill="1" applyAlignment="1">
      <alignment vertical="top"/>
    </xf>
    <xf numFmtId="0" fontId="2" fillId="4" borderId="0" xfId="0" applyFont="1" applyFill="1" applyAlignment="1">
      <alignment vertical="top"/>
    </xf>
    <xf numFmtId="14" fontId="4" fillId="4" borderId="0" xfId="0" applyNumberFormat="1" applyFont="1" applyFill="1" applyAlignment="1">
      <alignment horizontal="center" vertical="top"/>
    </xf>
    <xf numFmtId="165" fontId="4" fillId="4" borderId="8" xfId="0" applyNumberFormat="1" applyFont="1" applyFill="1" applyBorder="1" applyAlignment="1">
      <alignment horizontal="center" vertical="top"/>
    </xf>
    <xf numFmtId="165" fontId="1" fillId="4" borderId="9" xfId="0" applyNumberFormat="1" applyFont="1" applyFill="1" applyBorder="1" applyAlignment="1">
      <alignment horizontal="center" vertical="top" wrapText="1"/>
    </xf>
    <xf numFmtId="165" fontId="1" fillId="4" borderId="10" xfId="0" applyNumberFormat="1" applyFont="1" applyFill="1" applyBorder="1" applyAlignment="1">
      <alignment horizontal="center" vertical="top" wrapText="1"/>
    </xf>
    <xf numFmtId="165" fontId="1" fillId="4" borderId="0" xfId="0" applyNumberFormat="1" applyFont="1" applyFill="1" applyAlignment="1">
      <alignment horizontal="left" vertical="top" wrapText="1"/>
    </xf>
    <xf numFmtId="165" fontId="1" fillId="4" borderId="0" xfId="0" applyNumberFormat="1" applyFont="1" applyFill="1" applyAlignment="1">
      <alignment horizontal="center" vertical="top" wrapText="1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" fillId="0" borderId="0" xfId="0" applyFont="1" applyAlignment="1">
      <alignment horizontal="left" vertical="top" wrapText="1"/>
    </xf>
    <xf numFmtId="0" fontId="9" fillId="3" borderId="0" xfId="0" applyFont="1" applyFill="1" applyAlignment="1">
      <alignment vertical="top"/>
    </xf>
    <xf numFmtId="0" fontId="2" fillId="4" borderId="0" xfId="0" applyFont="1" applyFill="1" applyAlignment="1">
      <alignment horizontal="right" vertical="top"/>
    </xf>
    <xf numFmtId="0" fontId="1" fillId="4" borderId="0" xfId="0" applyFont="1" applyFill="1" applyAlignment="1">
      <alignment horizontal="right" vertical="top"/>
    </xf>
    <xf numFmtId="0" fontId="2" fillId="0" borderId="0" xfId="0" applyFont="1" applyAlignment="1">
      <alignment horizontal="right" vertical="top"/>
    </xf>
    <xf numFmtId="0" fontId="10" fillId="3" borderId="11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165" fontId="4" fillId="3" borderId="0" xfId="0" applyNumberFormat="1" applyFont="1" applyFill="1" applyAlignment="1">
      <alignment horizontal="center" vertical="top" wrapText="1"/>
    </xf>
    <xf numFmtId="165" fontId="1" fillId="0" borderId="8" xfId="0" applyNumberFormat="1" applyFont="1" applyBorder="1" applyAlignment="1">
      <alignment horizontal="center" vertical="center"/>
    </xf>
    <xf numFmtId="165" fontId="1" fillId="0" borderId="10" xfId="0" applyNumberFormat="1" applyFont="1" applyBorder="1" applyAlignment="1">
      <alignment horizontal="center" vertical="center"/>
    </xf>
    <xf numFmtId="165" fontId="1" fillId="0" borderId="9" xfId="0" applyNumberFormat="1" applyFont="1" applyBorder="1" applyAlignment="1">
      <alignment horizontal="center" vertical="center" wrapText="1"/>
    </xf>
    <xf numFmtId="165" fontId="1" fillId="4" borderId="9" xfId="0" applyNumberFormat="1" applyFont="1" applyFill="1" applyBorder="1" applyAlignment="1">
      <alignment horizontal="center" vertical="center" wrapText="1"/>
    </xf>
    <xf numFmtId="165" fontId="1" fillId="0" borderId="8" xfId="0" applyNumberFormat="1" applyFont="1" applyBorder="1" applyAlignment="1">
      <alignment horizontal="center" vertical="center" wrapText="1"/>
    </xf>
    <xf numFmtId="165" fontId="4" fillId="0" borderId="8" xfId="0" applyNumberFormat="1" applyFont="1" applyBorder="1" applyAlignment="1">
      <alignment horizontal="center" vertical="center"/>
    </xf>
    <xf numFmtId="165" fontId="1" fillId="0" borderId="10" xfId="0" applyNumberFormat="1" applyFont="1" applyBorder="1" applyAlignment="1">
      <alignment horizontal="center" vertical="center" wrapText="1"/>
    </xf>
    <xf numFmtId="14" fontId="4" fillId="4" borderId="0" xfId="0" applyNumberFormat="1" applyFont="1" applyFill="1" applyAlignment="1">
      <alignment horizontal="center" vertical="center"/>
    </xf>
    <xf numFmtId="165" fontId="4" fillId="4" borderId="8" xfId="0" applyNumberFormat="1" applyFont="1" applyFill="1" applyBorder="1" applyAlignment="1">
      <alignment horizontal="center" vertical="center"/>
    </xf>
    <xf numFmtId="165" fontId="1" fillId="4" borderId="10" xfId="0" applyNumberFormat="1" applyFont="1" applyFill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 wrapText="1"/>
    </xf>
    <xf numFmtId="165" fontId="1" fillId="4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right" vertical="top"/>
    </xf>
    <xf numFmtId="0" fontId="1" fillId="0" borderId="0" xfId="0" applyFont="1" applyAlignment="1">
      <alignment vertical="top" wrapText="1"/>
    </xf>
    <xf numFmtId="167" fontId="3" fillId="0" borderId="1" xfId="0" applyNumberFormat="1" applyFont="1" applyBorder="1" applyAlignment="1">
      <alignment horizontal="center" vertical="center"/>
    </xf>
    <xf numFmtId="168" fontId="3" fillId="0" borderId="1" xfId="0" applyNumberFormat="1" applyFont="1" applyBorder="1" applyAlignment="1">
      <alignment horizontal="center" vertical="center"/>
    </xf>
    <xf numFmtId="169" fontId="3" fillId="0" borderId="2" xfId="0" applyNumberFormat="1" applyFont="1" applyBorder="1" applyAlignment="1">
      <alignment horizontal="center" vertical="center"/>
    </xf>
    <xf numFmtId="170" fontId="3" fillId="0" borderId="1" xfId="0" applyNumberFormat="1" applyFont="1" applyBorder="1" applyAlignment="1">
      <alignment horizontal="center" vertical="center"/>
    </xf>
    <xf numFmtId="171" fontId="3" fillId="0" borderId="1" xfId="0" applyNumberFormat="1" applyFont="1" applyBorder="1" applyAlignment="1">
      <alignment horizontal="center" vertical="center"/>
    </xf>
    <xf numFmtId="172" fontId="3" fillId="0" borderId="2" xfId="0" applyNumberFormat="1" applyFont="1" applyBorder="1" applyAlignment="1">
      <alignment horizontal="center" vertical="center"/>
    </xf>
    <xf numFmtId="172" fontId="3" fillId="0" borderId="14" xfId="0" applyNumberFormat="1" applyFont="1" applyBorder="1" applyAlignment="1">
      <alignment horizontal="center" vertical="center"/>
    </xf>
    <xf numFmtId="173" fontId="3" fillId="0" borderId="15" xfId="0" applyNumberFormat="1" applyFont="1" applyBorder="1" applyAlignment="1">
      <alignment horizontal="center" vertical="center"/>
    </xf>
    <xf numFmtId="174" fontId="3" fillId="0" borderId="1" xfId="0" applyNumberFormat="1" applyFont="1" applyBorder="1" applyAlignment="1">
      <alignment horizontal="center" vertical="center"/>
    </xf>
    <xf numFmtId="175" fontId="3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7" fontId="3" fillId="0" borderId="2" xfId="0" applyNumberFormat="1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181" fontId="3" fillId="0" borderId="1" xfId="0" applyNumberFormat="1" applyFont="1" applyBorder="1" applyAlignment="1">
      <alignment horizontal="center" vertical="center"/>
    </xf>
    <xf numFmtId="182" fontId="3" fillId="0" borderId="16" xfId="0" applyNumberFormat="1" applyFont="1" applyBorder="1" applyAlignment="1">
      <alignment horizontal="center" vertical="center"/>
    </xf>
    <xf numFmtId="183" fontId="3" fillId="0" borderId="1" xfId="0" applyNumberFormat="1" applyFont="1" applyBorder="1" applyAlignment="1">
      <alignment horizontal="center" vertical="center"/>
    </xf>
    <xf numFmtId="184" fontId="3" fillId="0" borderId="14" xfId="0" applyNumberFormat="1" applyFont="1" applyBorder="1" applyAlignment="1">
      <alignment horizontal="center" vertical="center"/>
    </xf>
    <xf numFmtId="185" fontId="3" fillId="0" borderId="15" xfId="0" applyNumberFormat="1" applyFont="1" applyBorder="1" applyAlignment="1">
      <alignment horizontal="center" vertical="center"/>
    </xf>
    <xf numFmtId="187" fontId="3" fillId="0" borderId="1" xfId="0" applyNumberFormat="1" applyFont="1" applyBorder="1" applyAlignment="1">
      <alignment horizontal="center" vertical="center"/>
    </xf>
    <xf numFmtId="188" fontId="3" fillId="0" borderId="1" xfId="0" applyNumberFormat="1" applyFont="1" applyBorder="1" applyAlignment="1">
      <alignment horizontal="center" vertical="center"/>
    </xf>
    <xf numFmtId="191" fontId="3" fillId="0" borderId="1" xfId="0" applyNumberFormat="1" applyFont="1" applyBorder="1" applyAlignment="1">
      <alignment horizontal="center" vertical="center"/>
    </xf>
    <xf numFmtId="192" fontId="3" fillId="0" borderId="1" xfId="0" applyNumberFormat="1" applyFont="1" applyBorder="1" applyAlignment="1">
      <alignment horizontal="center" vertical="center"/>
    </xf>
    <xf numFmtId="193" fontId="3" fillId="0" borderId="17" xfId="0" applyNumberFormat="1" applyFont="1" applyBorder="1" applyAlignment="1">
      <alignment horizontal="center" vertical="center"/>
    </xf>
    <xf numFmtId="194" fontId="3" fillId="0" borderId="1" xfId="0" applyNumberFormat="1" applyFont="1" applyBorder="1" applyAlignment="1">
      <alignment horizontal="center" vertical="center"/>
    </xf>
    <xf numFmtId="193" fontId="3" fillId="0" borderId="1" xfId="0" applyNumberFormat="1" applyFont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86" fontId="3" fillId="0" borderId="21" xfId="0" applyNumberFormat="1" applyFont="1" applyBorder="1" applyAlignment="1">
      <alignment horizontal="center" vertical="center"/>
    </xf>
    <xf numFmtId="189" fontId="3" fillId="0" borderId="1" xfId="0" applyNumberFormat="1" applyFont="1" applyBorder="1" applyAlignment="1">
      <alignment horizontal="center" vertical="center"/>
    </xf>
    <xf numFmtId="186" fontId="3" fillId="0" borderId="18" xfId="0" applyNumberFormat="1" applyFont="1" applyBorder="1" applyAlignment="1">
      <alignment horizontal="center" vertical="center"/>
    </xf>
    <xf numFmtId="187" fontId="3" fillId="0" borderId="19" xfId="0" applyNumberFormat="1" applyFont="1" applyBorder="1" applyAlignment="1">
      <alignment horizontal="center" vertical="center"/>
    </xf>
    <xf numFmtId="188" fontId="3" fillId="0" borderId="19" xfId="0" applyNumberFormat="1" applyFont="1" applyBorder="1" applyAlignment="1">
      <alignment horizontal="center" vertical="center"/>
    </xf>
    <xf numFmtId="189" fontId="3" fillId="0" borderId="19" xfId="0" applyNumberFormat="1" applyFont="1" applyBorder="1" applyAlignment="1">
      <alignment horizontal="center" vertical="center"/>
    </xf>
    <xf numFmtId="186" fontId="3" fillId="0" borderId="22" xfId="0" applyNumberFormat="1" applyFont="1" applyBorder="1" applyAlignment="1">
      <alignment horizontal="center" vertical="center"/>
    </xf>
    <xf numFmtId="187" fontId="3" fillId="0" borderId="23" xfId="0" applyNumberFormat="1" applyFont="1" applyBorder="1" applyAlignment="1">
      <alignment horizontal="center" vertical="center"/>
    </xf>
    <xf numFmtId="188" fontId="3" fillId="0" borderId="23" xfId="0" applyNumberFormat="1" applyFont="1" applyBorder="1" applyAlignment="1">
      <alignment horizontal="center" vertical="center"/>
    </xf>
    <xf numFmtId="189" fontId="3" fillId="0" borderId="23" xfId="0" applyNumberFormat="1" applyFont="1" applyBorder="1" applyAlignment="1">
      <alignment horizontal="center" vertical="center"/>
    </xf>
    <xf numFmtId="190" fontId="3" fillId="0" borderId="24" xfId="0" applyNumberFormat="1" applyFont="1" applyBorder="1" applyAlignment="1">
      <alignment horizontal="center" vertical="center"/>
    </xf>
    <xf numFmtId="190" fontId="3" fillId="0" borderId="16" xfId="0" applyNumberFormat="1" applyFont="1" applyBorder="1" applyAlignment="1">
      <alignment horizontal="center" vertical="center"/>
    </xf>
    <xf numFmtId="190" fontId="3" fillId="0" borderId="20" xfId="0" applyNumberFormat="1" applyFont="1" applyBorder="1" applyAlignment="1">
      <alignment horizontal="center" vertical="center"/>
    </xf>
    <xf numFmtId="172" fontId="3" fillId="0" borderId="25" xfId="0" applyNumberFormat="1" applyFont="1" applyBorder="1" applyAlignment="1">
      <alignment horizontal="center" vertical="center"/>
    </xf>
    <xf numFmtId="169" fontId="3" fillId="0" borderId="1" xfId="0" applyNumberFormat="1" applyFont="1" applyBorder="1" applyAlignment="1">
      <alignment horizontal="center" vertical="center"/>
    </xf>
    <xf numFmtId="0" fontId="10" fillId="3" borderId="26" xfId="0" applyFont="1" applyFill="1" applyBorder="1" applyAlignment="1">
      <alignment horizontal="center" vertical="center"/>
    </xf>
    <xf numFmtId="164" fontId="3" fillId="0" borderId="21" xfId="0" applyNumberFormat="1" applyFont="1" applyBorder="1" applyAlignment="1">
      <alignment horizontal="center" vertical="center"/>
    </xf>
    <xf numFmtId="173" fontId="3" fillId="0" borderId="16" xfId="0" applyNumberFormat="1" applyFont="1" applyBorder="1" applyAlignment="1">
      <alignment horizontal="center" vertical="center"/>
    </xf>
    <xf numFmtId="164" fontId="3" fillId="0" borderId="18" xfId="0" applyNumberFormat="1" applyFont="1" applyBorder="1" applyAlignment="1">
      <alignment horizontal="center" vertical="center"/>
    </xf>
    <xf numFmtId="170" fontId="3" fillId="0" borderId="19" xfId="0" applyNumberFormat="1" applyFont="1" applyBorder="1" applyAlignment="1">
      <alignment horizontal="center" vertical="center"/>
    </xf>
    <xf numFmtId="171" fontId="3" fillId="0" borderId="19" xfId="0" applyNumberFormat="1" applyFont="1" applyBorder="1" applyAlignment="1">
      <alignment horizontal="center" vertical="center"/>
    </xf>
    <xf numFmtId="172" fontId="3" fillId="0" borderId="27" xfId="0" applyNumberFormat="1" applyFont="1" applyBorder="1" applyAlignment="1">
      <alignment horizontal="center" vertical="center"/>
    </xf>
    <xf numFmtId="173" fontId="3" fillId="0" borderId="20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2" fillId="5" borderId="28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29" xfId="0" applyFont="1" applyFill="1" applyBorder="1" applyAlignment="1">
      <alignment horizontal="center" vertical="center"/>
    </xf>
    <xf numFmtId="0" fontId="6" fillId="5" borderId="30" xfId="0" applyFont="1" applyFill="1" applyBorder="1" applyAlignment="1">
      <alignment horizontal="center" vertical="center"/>
    </xf>
    <xf numFmtId="0" fontId="6" fillId="5" borderId="31" xfId="0" applyFont="1" applyFill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41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/>
    </xf>
    <xf numFmtId="0" fontId="2" fillId="2" borderId="46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47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36">
    <dxf>
      <font>
        <color rgb="FF9CC3E6"/>
      </font>
      <fill>
        <patternFill>
          <bgColor rgb="FF9CC3E6"/>
        </patternFill>
      </fill>
    </dxf>
    <dxf>
      <font>
        <color rgb="FFDDEBF7"/>
      </font>
      <fill>
        <patternFill>
          <bgColor rgb="FFDDEBF7"/>
        </patternFill>
      </fill>
    </dxf>
    <dxf>
      <font>
        <color rgb="FF9CC3E6"/>
      </font>
      <fill>
        <patternFill>
          <bgColor rgb="FF9CC3E6"/>
        </patternFill>
      </fill>
    </dxf>
    <dxf>
      <font>
        <color rgb="FFDDEBF7"/>
      </font>
      <fill>
        <patternFill>
          <bgColor rgb="FFDDEBF7"/>
        </patternFill>
      </fill>
    </dxf>
    <dxf>
      <font>
        <color rgb="FFDDEBF7"/>
      </font>
      <fill>
        <patternFill>
          <bgColor rgb="FFDDEBF7"/>
        </patternFill>
      </fill>
    </dxf>
    <dxf>
      <font>
        <color rgb="FF9CC3E6"/>
      </font>
      <fill>
        <patternFill>
          <bgColor rgb="FF9CC3E6"/>
        </patternFill>
      </fill>
    </dxf>
    <dxf>
      <font>
        <color rgb="FF9CC3E6"/>
      </font>
      <fill>
        <patternFill>
          <bgColor rgb="FF9CC3E6"/>
        </patternFill>
      </fill>
    </dxf>
    <dxf>
      <font>
        <color rgb="FFDDEBF7"/>
      </font>
      <fill>
        <patternFill>
          <bgColor rgb="FFDDEBF7"/>
        </patternFill>
      </fill>
    </dxf>
    <dxf>
      <font>
        <color rgb="FF9CC3E6"/>
      </font>
      <fill>
        <patternFill>
          <bgColor rgb="FF9CC3E6"/>
        </patternFill>
      </fill>
    </dxf>
    <dxf>
      <font>
        <color rgb="FF9CC3E6"/>
      </font>
      <fill>
        <patternFill>
          <bgColor rgb="FF9CC3E6"/>
        </patternFill>
      </fill>
    </dxf>
    <dxf>
      <font>
        <color rgb="FFDDEBF7"/>
      </font>
      <fill>
        <patternFill>
          <bgColor rgb="FFDDEBF7"/>
        </patternFill>
      </fill>
    </dxf>
    <dxf>
      <font>
        <color rgb="FF9CC3E6"/>
      </font>
      <fill>
        <patternFill>
          <bgColor rgb="FF9CC3E6"/>
        </patternFill>
      </fill>
    </dxf>
    <dxf>
      <font>
        <color rgb="FF2E75B6"/>
      </font>
      <fill>
        <patternFill>
          <bgColor rgb="FF2E75B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E2F0D9"/>
      </font>
      <fill>
        <patternFill>
          <bgColor rgb="FF548235"/>
        </patternFill>
      </fill>
    </dxf>
    <dxf>
      <font>
        <color rgb="FFE2F0D9"/>
      </font>
      <fill>
        <patternFill>
          <bgColor rgb="FF548235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E2F0D9"/>
      </font>
      <fill>
        <patternFill>
          <bgColor rgb="FF54823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9" xr9:uid="{00000000-0011-0000-FFFF-FFFF00000000}">
      <tableStyleElement type="wholeTable" dxfId="35"/>
      <tableStyleElement type="headerRow" dxfId="34"/>
      <tableStyleElement type="totalRow" dxfId="33"/>
      <tableStyleElement type="firstColumn" dxfId="32"/>
      <tableStyleElement type="lastColumn" dxfId="31"/>
      <tableStyleElement type="firstRowStripe" dxfId="30"/>
      <tableStyleElement type="firstColumnStripe" dxfId="29"/>
    </tableStyle>
    <tableStyle name="Light Style 1 - Accent 1" table="0" count="8" xr9:uid="{00000000-0011-0000-FFFF-FFFF01000000}">
      <tableStyleElement type="wholeTable" dxfId="28"/>
      <tableStyleElement type="headerRow" dxfId="27"/>
      <tableStyleElement type="totalRow" dxfId="26"/>
      <tableStyleElement type="firstColumn" dxfId="25"/>
      <tableStyleElement type="lastColumn" dxfId="24"/>
      <tableStyleElement type="firstRowStripe" dxfId="23"/>
      <tableStyleElement type="firstColumnStripe" dxfId="2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F94"/>
  <sheetViews>
    <sheetView zoomScaleNormal="100" zoomScaleSheetLayoutView="75" workbookViewId="0">
      <selection activeCell="G5" sqref="G5"/>
    </sheetView>
  </sheetViews>
  <sheetFormatPr baseColWidth="10" defaultColWidth="8.83203125" defaultRowHeight="17"/>
  <cols>
    <col min="1" max="1" width="3.6640625" customWidth="1"/>
    <col min="2" max="2" width="6.6640625" customWidth="1"/>
    <col min="3" max="3" width="12.6640625" customWidth="1"/>
    <col min="4" max="4" width="11" bestFit="1" customWidth="1"/>
    <col min="5" max="5" width="13.6640625" customWidth="1"/>
    <col min="6" max="6" width="20.1640625" customWidth="1"/>
  </cols>
  <sheetData>
    <row r="2" spans="2:6">
      <c r="B2" s="13" t="s">
        <v>8</v>
      </c>
    </row>
    <row r="4" spans="2:6">
      <c r="B4" s="15" t="s">
        <v>57</v>
      </c>
      <c r="C4" s="15" t="s">
        <v>76</v>
      </c>
      <c r="D4" s="15" t="s">
        <v>12</v>
      </c>
      <c r="E4" s="15" t="s">
        <v>86</v>
      </c>
      <c r="F4" s="15" t="s">
        <v>88</v>
      </c>
    </row>
    <row r="5" spans="2:6">
      <c r="B5" s="114">
        <v>1</v>
      </c>
      <c r="C5" s="14">
        <v>44726</v>
      </c>
      <c r="D5" s="115" t="s">
        <v>14</v>
      </c>
      <c r="E5" s="115" t="s">
        <v>85</v>
      </c>
      <c r="F5" s="114" t="s">
        <v>97</v>
      </c>
    </row>
    <row r="6" spans="2:6">
      <c r="B6" s="114">
        <v>2</v>
      </c>
      <c r="C6" s="14"/>
      <c r="D6" s="115"/>
      <c r="E6" s="115"/>
      <c r="F6" s="114"/>
    </row>
    <row r="7" spans="2:6">
      <c r="B7" s="114">
        <v>3</v>
      </c>
      <c r="C7" s="14"/>
      <c r="D7" s="115"/>
      <c r="E7" s="115"/>
      <c r="F7" s="114"/>
    </row>
    <row r="8" spans="2:6">
      <c r="B8" s="114">
        <v>4</v>
      </c>
      <c r="C8" s="14"/>
      <c r="D8" s="115"/>
      <c r="E8" s="115"/>
      <c r="F8" s="114"/>
    </row>
    <row r="9" spans="2:6">
      <c r="B9" s="114">
        <v>5</v>
      </c>
      <c r="C9" s="14"/>
      <c r="D9" s="115"/>
      <c r="E9" s="115"/>
      <c r="F9" s="114"/>
    </row>
    <row r="10" spans="2:6">
      <c r="B10" s="114">
        <v>6</v>
      </c>
      <c r="C10" s="14"/>
      <c r="D10" s="115"/>
      <c r="E10" s="115"/>
      <c r="F10" s="114"/>
    </row>
    <row r="11" spans="2:6">
      <c r="B11" s="114">
        <v>7</v>
      </c>
      <c r="C11" s="14"/>
      <c r="D11" s="115"/>
      <c r="E11" s="115"/>
      <c r="F11" s="114"/>
    </row>
    <row r="12" spans="2:6">
      <c r="B12" s="114">
        <v>8</v>
      </c>
      <c r="C12" s="14"/>
      <c r="D12" s="115"/>
      <c r="E12" s="115"/>
      <c r="F12" s="114"/>
    </row>
    <row r="13" spans="2:6">
      <c r="B13" s="114">
        <v>9</v>
      </c>
      <c r="C13" s="14"/>
      <c r="D13" s="114"/>
      <c r="E13" s="114"/>
      <c r="F13" s="114"/>
    </row>
    <row r="14" spans="2:6">
      <c r="B14" s="114">
        <v>10</v>
      </c>
      <c r="C14" s="14"/>
      <c r="D14" s="114"/>
      <c r="E14" s="114"/>
      <c r="F14" s="114"/>
    </row>
    <row r="15" spans="2:6">
      <c r="B15" s="114">
        <v>11</v>
      </c>
      <c r="C15" s="14"/>
      <c r="D15" s="114"/>
      <c r="E15" s="114"/>
      <c r="F15" s="114"/>
    </row>
    <row r="16" spans="2:6">
      <c r="B16" s="114">
        <v>12</v>
      </c>
      <c r="C16" s="14"/>
      <c r="D16" s="14"/>
      <c r="E16" s="14"/>
      <c r="F16" s="114"/>
    </row>
    <row r="17" spans="2:6">
      <c r="B17" s="114">
        <v>13</v>
      </c>
      <c r="C17" s="14"/>
      <c r="D17" s="114"/>
      <c r="E17" s="114"/>
      <c r="F17" s="114"/>
    </row>
    <row r="18" spans="2:6">
      <c r="B18" s="114">
        <v>14</v>
      </c>
      <c r="C18" s="14"/>
      <c r="D18" s="114"/>
      <c r="E18" s="114"/>
      <c r="F18" s="114"/>
    </row>
    <row r="19" spans="2:6">
      <c r="B19" s="114">
        <v>15</v>
      </c>
      <c r="C19" s="14"/>
      <c r="D19" s="114"/>
      <c r="E19" s="114"/>
      <c r="F19" s="114"/>
    </row>
    <row r="20" spans="2:6">
      <c r="B20" s="114">
        <v>16</v>
      </c>
      <c r="C20" s="14"/>
      <c r="D20" s="114"/>
      <c r="E20" s="114"/>
      <c r="F20" s="114"/>
    </row>
    <row r="21" spans="2:6">
      <c r="B21" s="114">
        <v>17</v>
      </c>
      <c r="C21" s="14"/>
      <c r="D21" s="114"/>
      <c r="E21" s="114"/>
      <c r="F21" s="114"/>
    </row>
    <row r="22" spans="2:6">
      <c r="B22" s="114">
        <v>18</v>
      </c>
      <c r="C22" s="14"/>
      <c r="D22" s="114"/>
      <c r="E22" s="114"/>
      <c r="F22" s="114"/>
    </row>
    <row r="23" spans="2:6">
      <c r="B23" s="114">
        <v>19</v>
      </c>
      <c r="C23" s="14"/>
      <c r="D23" s="114"/>
      <c r="E23" s="114"/>
      <c r="F23" s="114"/>
    </row>
    <row r="24" spans="2:6">
      <c r="B24" s="114">
        <v>20</v>
      </c>
      <c r="C24" s="14"/>
      <c r="D24" s="114"/>
      <c r="E24" s="114"/>
      <c r="F24" s="114"/>
    </row>
    <row r="25" spans="2:6">
      <c r="B25" s="114">
        <v>21</v>
      </c>
      <c r="C25" s="14"/>
      <c r="D25" s="114"/>
      <c r="E25" s="114"/>
      <c r="F25" s="114"/>
    </row>
    <row r="26" spans="2:6">
      <c r="B26" s="114">
        <v>22</v>
      </c>
      <c r="C26" s="14"/>
      <c r="D26" s="114"/>
      <c r="E26" s="114"/>
      <c r="F26" s="114"/>
    </row>
    <row r="27" spans="2:6">
      <c r="B27" s="114">
        <v>23</v>
      </c>
      <c r="C27" s="14"/>
      <c r="D27" s="114"/>
      <c r="E27" s="114"/>
      <c r="F27" s="114"/>
    </row>
    <row r="28" spans="2:6">
      <c r="B28" s="114">
        <v>24</v>
      </c>
      <c r="C28" s="14"/>
      <c r="D28" s="114"/>
      <c r="E28" s="114"/>
      <c r="F28" s="114"/>
    </row>
    <row r="29" spans="2:6">
      <c r="B29" s="114">
        <v>25</v>
      </c>
      <c r="C29" s="14"/>
      <c r="D29" s="114"/>
      <c r="E29" s="114"/>
      <c r="F29" s="114"/>
    </row>
    <row r="30" spans="2:6">
      <c r="C30" s="7"/>
    </row>
    <row r="31" spans="2:6">
      <c r="C31" s="7"/>
    </row>
    <row r="32" spans="2:6">
      <c r="C32" s="7"/>
    </row>
    <row r="33" spans="3:3">
      <c r="C33" s="7"/>
    </row>
    <row r="34" spans="3:3">
      <c r="C34" s="7"/>
    </row>
    <row r="35" spans="3:3">
      <c r="C35" s="7"/>
    </row>
    <row r="36" spans="3:3">
      <c r="C36" s="7"/>
    </row>
    <row r="37" spans="3:3">
      <c r="C37" s="7"/>
    </row>
    <row r="38" spans="3:3">
      <c r="C38" s="7"/>
    </row>
    <row r="39" spans="3:3">
      <c r="C39" s="7"/>
    </row>
    <row r="40" spans="3:3">
      <c r="C40" s="7"/>
    </row>
    <row r="41" spans="3:3">
      <c r="C41" s="7"/>
    </row>
    <row r="42" spans="3:3">
      <c r="C42" s="7"/>
    </row>
    <row r="43" spans="3:3">
      <c r="C43" s="7"/>
    </row>
    <row r="44" spans="3:3">
      <c r="C44" s="7"/>
    </row>
    <row r="45" spans="3:3">
      <c r="C45" s="7"/>
    </row>
    <row r="46" spans="3:3">
      <c r="C46" s="7"/>
    </row>
    <row r="47" spans="3:3">
      <c r="C47" s="7"/>
    </row>
    <row r="48" spans="3:3">
      <c r="C48" s="7"/>
    </row>
    <row r="49" spans="3:3">
      <c r="C49" s="7"/>
    </row>
    <row r="50" spans="3:3">
      <c r="C50" s="7"/>
    </row>
    <row r="51" spans="3:3">
      <c r="C51" s="7"/>
    </row>
    <row r="52" spans="3:3">
      <c r="C52" s="7"/>
    </row>
    <row r="53" spans="3:3">
      <c r="C53" s="7"/>
    </row>
    <row r="54" spans="3:3">
      <c r="C54" s="7"/>
    </row>
    <row r="55" spans="3:3">
      <c r="C55" s="7"/>
    </row>
    <row r="56" spans="3:3">
      <c r="C56" s="7"/>
    </row>
    <row r="57" spans="3:3">
      <c r="C57" s="7"/>
    </row>
    <row r="58" spans="3:3">
      <c r="C58" s="7"/>
    </row>
    <row r="59" spans="3:3">
      <c r="C59" s="7"/>
    </row>
    <row r="60" spans="3:3">
      <c r="C60" s="7"/>
    </row>
    <row r="61" spans="3:3">
      <c r="C61" s="7"/>
    </row>
    <row r="62" spans="3:3">
      <c r="C62" s="7"/>
    </row>
    <row r="63" spans="3:3">
      <c r="C63" s="7"/>
    </row>
    <row r="64" spans="3:3">
      <c r="C64" s="7"/>
    </row>
    <row r="65" spans="3:3">
      <c r="C65" s="7"/>
    </row>
    <row r="66" spans="3:3">
      <c r="C66" s="7"/>
    </row>
    <row r="67" spans="3:3">
      <c r="C67" s="7"/>
    </row>
    <row r="68" spans="3:3">
      <c r="C68" s="7"/>
    </row>
    <row r="69" spans="3:3">
      <c r="C69" s="7"/>
    </row>
    <row r="70" spans="3:3">
      <c r="C70" s="7"/>
    </row>
    <row r="71" spans="3:3">
      <c r="C71" s="7"/>
    </row>
    <row r="72" spans="3:3">
      <c r="C72" s="7"/>
    </row>
    <row r="73" spans="3:3">
      <c r="C73" s="7"/>
    </row>
    <row r="74" spans="3:3">
      <c r="C74" s="7"/>
    </row>
    <row r="75" spans="3:3">
      <c r="C75" s="7"/>
    </row>
    <row r="76" spans="3:3">
      <c r="C76" s="7"/>
    </row>
    <row r="77" spans="3:3">
      <c r="C77" s="7"/>
    </row>
    <row r="78" spans="3:3">
      <c r="C78" s="7"/>
    </row>
    <row r="79" spans="3:3">
      <c r="C79" s="7"/>
    </row>
    <row r="80" spans="3:3">
      <c r="C80" s="7"/>
    </row>
    <row r="81" spans="3:3">
      <c r="C81" s="7"/>
    </row>
    <row r="82" spans="3:3">
      <c r="C82" s="7"/>
    </row>
    <row r="83" spans="3:3">
      <c r="C83" s="7"/>
    </row>
    <row r="84" spans="3:3">
      <c r="C84" s="7"/>
    </row>
    <row r="85" spans="3:3">
      <c r="C85" s="7"/>
    </row>
    <row r="86" spans="3:3">
      <c r="C86" s="7"/>
    </row>
    <row r="87" spans="3:3">
      <c r="C87" s="7"/>
    </row>
    <row r="88" spans="3:3">
      <c r="C88" s="7"/>
    </row>
    <row r="89" spans="3:3">
      <c r="C89" s="7"/>
    </row>
    <row r="90" spans="3:3">
      <c r="C90" s="7"/>
    </row>
    <row r="91" spans="3:3">
      <c r="C91" s="7"/>
    </row>
    <row r="92" spans="3:3">
      <c r="C92" s="7"/>
    </row>
    <row r="93" spans="3:3">
      <c r="C93" s="7"/>
    </row>
    <row r="94" spans="3:3">
      <c r="C94" s="7"/>
    </row>
  </sheetData>
  <pageMargins left="0.69999998807907104" right="0.69999998807907104" top="0.75" bottom="0.75" header="0.30000001192092896" footer="0.300000011920928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BN39"/>
  <sheetViews>
    <sheetView tabSelected="1" topLeftCell="A9" zoomScale="80" zoomScaleNormal="80" zoomScaleSheetLayoutView="75" workbookViewId="0">
      <selection activeCell="I13" sqref="I13"/>
    </sheetView>
  </sheetViews>
  <sheetFormatPr baseColWidth="10" defaultColWidth="8.83203125" defaultRowHeight="17"/>
  <cols>
    <col min="1" max="1" width="2.5" style="1" customWidth="1"/>
    <col min="2" max="2" width="6.6640625" style="1" customWidth="1"/>
    <col min="3" max="3" width="2.33203125" style="12" bestFit="1" customWidth="1"/>
    <col min="4" max="4" width="5.1640625" style="3" customWidth="1"/>
    <col min="5" max="5" width="4.1640625" style="58" bestFit="1" customWidth="1"/>
    <col min="6" max="6" width="61.6640625" style="34" customWidth="1"/>
    <col min="7" max="7" width="9.6640625" style="17" bestFit="1" customWidth="1"/>
    <col min="8" max="8" width="9.1640625" style="17" customWidth="1"/>
    <col min="9" max="9" width="7.33203125" style="4" bestFit="1" customWidth="1"/>
    <col min="10" max="10" width="16.6640625" style="4" bestFit="1" customWidth="1"/>
    <col min="11" max="11" width="6.33203125" style="4" customWidth="1"/>
    <col min="12" max="12" width="16.6640625" style="4" bestFit="1" customWidth="1"/>
    <col min="13" max="13" width="10.6640625" style="4" customWidth="1"/>
    <col min="14" max="65" width="2.33203125" customWidth="1"/>
    <col min="66" max="66" width="19.83203125" style="1" customWidth="1"/>
  </cols>
  <sheetData>
    <row r="1" spans="1:66" ht="18">
      <c r="A1" s="9" t="s">
        <v>5</v>
      </c>
      <c r="H1" s="123"/>
      <c r="I1" s="124"/>
      <c r="J1" s="16" t="s">
        <v>117</v>
      </c>
      <c r="K1" s="17"/>
      <c r="L1" s="17"/>
      <c r="M1" s="17"/>
    </row>
    <row r="2" spans="1:66" ht="6.75" customHeight="1">
      <c r="A2" s="2"/>
      <c r="G2" s="2"/>
      <c r="H2" s="2"/>
    </row>
    <row r="3" spans="1:66" ht="16.5" customHeight="1">
      <c r="A3" s="2"/>
      <c r="B3" s="125" t="s">
        <v>11</v>
      </c>
      <c r="C3" s="128" t="s">
        <v>7</v>
      </c>
      <c r="D3" s="129"/>
      <c r="E3" s="129"/>
      <c r="F3" s="130"/>
      <c r="G3" s="128" t="s">
        <v>9</v>
      </c>
      <c r="H3" s="129"/>
      <c r="I3" s="137"/>
      <c r="J3" s="141" t="s">
        <v>10</v>
      </c>
      <c r="K3" s="144" t="s">
        <v>99</v>
      </c>
      <c r="L3" s="147" t="s">
        <v>15</v>
      </c>
      <c r="M3" s="147" t="s">
        <v>13</v>
      </c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120"/>
      <c r="AK3" s="120"/>
      <c r="AL3" s="120"/>
      <c r="AM3" s="120"/>
      <c r="AN3" s="120"/>
      <c r="AO3" s="120"/>
      <c r="AP3" s="120"/>
      <c r="AQ3" s="120"/>
      <c r="AR3" s="120"/>
      <c r="AS3" s="120"/>
      <c r="AT3" s="120"/>
      <c r="AU3" s="120"/>
      <c r="AV3" s="120"/>
      <c r="AW3" s="120"/>
      <c r="AX3" s="120"/>
      <c r="AY3" s="120"/>
      <c r="AZ3" s="120"/>
      <c r="BA3" s="120"/>
      <c r="BB3" s="120"/>
      <c r="BC3" s="120"/>
      <c r="BD3" s="120"/>
      <c r="BE3" s="120"/>
      <c r="BF3" s="120"/>
      <c r="BG3" s="120"/>
      <c r="BH3" s="120"/>
      <c r="BI3" s="120"/>
      <c r="BJ3" s="120"/>
      <c r="BK3" s="120"/>
      <c r="BL3" s="120"/>
      <c r="BM3" s="121"/>
      <c r="BN3" s="117" t="s">
        <v>87</v>
      </c>
    </row>
    <row r="4" spans="1:66" ht="16.5" customHeight="1">
      <c r="A4" s="2"/>
      <c r="B4" s="126"/>
      <c r="C4" s="131"/>
      <c r="D4" s="132"/>
      <c r="E4" s="132"/>
      <c r="F4" s="133"/>
      <c r="G4" s="138"/>
      <c r="H4" s="139"/>
      <c r="I4" s="140"/>
      <c r="J4" s="142"/>
      <c r="K4" s="145"/>
      <c r="L4" s="148"/>
      <c r="M4" s="148"/>
      <c r="N4" s="119" t="s">
        <v>95</v>
      </c>
      <c r="O4" s="119"/>
      <c r="P4" s="119"/>
      <c r="Q4" s="119"/>
      <c r="R4" s="119" t="s">
        <v>59</v>
      </c>
      <c r="S4" s="119"/>
      <c r="T4" s="119"/>
      <c r="U4" s="119"/>
      <c r="V4" s="119" t="s">
        <v>53</v>
      </c>
      <c r="W4" s="119"/>
      <c r="X4" s="119"/>
      <c r="Y4" s="119"/>
      <c r="Z4" s="119"/>
      <c r="AA4" s="119" t="s">
        <v>84</v>
      </c>
      <c r="AB4" s="119"/>
      <c r="AC4" s="119"/>
      <c r="AD4" s="119"/>
      <c r="AE4" s="119" t="s">
        <v>60</v>
      </c>
      <c r="AF4" s="119"/>
      <c r="AG4" s="119"/>
      <c r="AH4" s="119"/>
      <c r="AI4" s="119"/>
      <c r="AJ4" s="119" t="s">
        <v>82</v>
      </c>
      <c r="AK4" s="119"/>
      <c r="AL4" s="119"/>
      <c r="AM4" s="119"/>
      <c r="AN4" s="119" t="s">
        <v>89</v>
      </c>
      <c r="AO4" s="119"/>
      <c r="AP4" s="119"/>
      <c r="AQ4" s="119"/>
      <c r="AR4" s="122" t="s">
        <v>63</v>
      </c>
      <c r="AS4" s="122"/>
      <c r="AT4" s="122"/>
      <c r="AU4" s="122"/>
      <c r="AV4" s="122"/>
      <c r="AW4" s="119" t="s">
        <v>94</v>
      </c>
      <c r="AX4" s="119"/>
      <c r="AY4" s="119"/>
      <c r="AZ4" s="119"/>
      <c r="BA4" s="119" t="s">
        <v>78</v>
      </c>
      <c r="BB4" s="119"/>
      <c r="BC4" s="119"/>
      <c r="BD4" s="119"/>
      <c r="BE4" s="122" t="s">
        <v>47</v>
      </c>
      <c r="BF4" s="122"/>
      <c r="BG4" s="122"/>
      <c r="BH4" s="122"/>
      <c r="BI4" s="122"/>
      <c r="BJ4" s="119" t="s">
        <v>79</v>
      </c>
      <c r="BK4" s="119"/>
      <c r="BL4" s="119"/>
      <c r="BM4" s="119"/>
      <c r="BN4" s="118"/>
    </row>
    <row r="5" spans="1:66" ht="32">
      <c r="A5" s="2"/>
      <c r="B5" s="127"/>
      <c r="C5" s="134"/>
      <c r="D5" s="135"/>
      <c r="E5" s="135"/>
      <c r="F5" s="136"/>
      <c r="G5" s="18" t="s">
        <v>114</v>
      </c>
      <c r="H5" s="18" t="s">
        <v>115</v>
      </c>
      <c r="I5" s="10" t="s">
        <v>100</v>
      </c>
      <c r="J5" s="143"/>
      <c r="K5" s="146"/>
      <c r="L5" s="149"/>
      <c r="M5" s="149"/>
      <c r="N5" s="87" t="s">
        <v>66</v>
      </c>
      <c r="O5" s="88" t="s">
        <v>72</v>
      </c>
      <c r="P5" s="88" t="s">
        <v>64</v>
      </c>
      <c r="Q5" s="89" t="s">
        <v>68</v>
      </c>
      <c r="R5" s="87" t="s">
        <v>91</v>
      </c>
      <c r="S5" s="88" t="s">
        <v>81</v>
      </c>
      <c r="T5" s="88" t="s">
        <v>93</v>
      </c>
      <c r="U5" s="89" t="s">
        <v>90</v>
      </c>
      <c r="V5" s="87" t="s">
        <v>83</v>
      </c>
      <c r="W5" s="88" t="s">
        <v>34</v>
      </c>
      <c r="X5" s="88" t="s">
        <v>24</v>
      </c>
      <c r="Y5" s="88" t="s">
        <v>37</v>
      </c>
      <c r="Z5" s="89" t="s">
        <v>38</v>
      </c>
      <c r="AA5" s="87" t="s">
        <v>28</v>
      </c>
      <c r="AB5" s="88" t="s">
        <v>27</v>
      </c>
      <c r="AC5" s="88" t="s">
        <v>25</v>
      </c>
      <c r="AD5" s="89" t="s">
        <v>32</v>
      </c>
      <c r="AE5" s="87" t="s">
        <v>31</v>
      </c>
      <c r="AF5" s="88" t="s">
        <v>29</v>
      </c>
      <c r="AG5" s="88" t="s">
        <v>33</v>
      </c>
      <c r="AH5" s="88" t="s">
        <v>30</v>
      </c>
      <c r="AI5" s="89" t="s">
        <v>26</v>
      </c>
      <c r="AJ5" s="88" t="s">
        <v>35</v>
      </c>
      <c r="AK5" s="88" t="s">
        <v>36</v>
      </c>
      <c r="AL5" s="88" t="s">
        <v>40</v>
      </c>
      <c r="AM5" s="89" t="s">
        <v>39</v>
      </c>
      <c r="AN5" s="87" t="s">
        <v>41</v>
      </c>
      <c r="AO5" s="88" t="s">
        <v>42</v>
      </c>
      <c r="AP5" s="88" t="s">
        <v>45</v>
      </c>
      <c r="AQ5" s="88" t="s">
        <v>43</v>
      </c>
      <c r="AR5" s="41" t="s">
        <v>44</v>
      </c>
      <c r="AS5" s="42" t="s">
        <v>46</v>
      </c>
      <c r="AT5" s="42" t="s">
        <v>69</v>
      </c>
      <c r="AU5" s="42" t="s">
        <v>67</v>
      </c>
      <c r="AV5" s="43" t="s">
        <v>62</v>
      </c>
      <c r="AW5" s="88" t="s">
        <v>52</v>
      </c>
      <c r="AX5" s="88" t="s">
        <v>56</v>
      </c>
      <c r="AY5" s="88" t="s">
        <v>58</v>
      </c>
      <c r="AZ5" s="89" t="s">
        <v>49</v>
      </c>
      <c r="BA5" s="87" t="s">
        <v>74</v>
      </c>
      <c r="BB5" s="88" t="s">
        <v>54</v>
      </c>
      <c r="BC5" s="88" t="s">
        <v>51</v>
      </c>
      <c r="BD5" s="88" t="s">
        <v>61</v>
      </c>
      <c r="BE5" s="41" t="s">
        <v>77</v>
      </c>
      <c r="BF5" s="42" t="s">
        <v>73</v>
      </c>
      <c r="BG5" s="42" t="s">
        <v>55</v>
      </c>
      <c r="BH5" s="106" t="s">
        <v>71</v>
      </c>
      <c r="BI5" s="43" t="s">
        <v>65</v>
      </c>
      <c r="BJ5" s="88" t="s">
        <v>50</v>
      </c>
      <c r="BK5" s="88" t="s">
        <v>48</v>
      </c>
      <c r="BL5" s="88" t="s">
        <v>75</v>
      </c>
      <c r="BM5" s="89" t="s">
        <v>70</v>
      </c>
      <c r="BN5" s="118"/>
    </row>
    <row r="6" spans="1:66" ht="30.5" customHeight="1">
      <c r="A6" s="2"/>
      <c r="B6" s="37" t="s">
        <v>113</v>
      </c>
      <c r="C6" s="20"/>
      <c r="D6" s="19"/>
      <c r="E6" s="20"/>
      <c r="F6" s="19"/>
      <c r="G6" s="21">
        <v>46119</v>
      </c>
      <c r="H6" s="21">
        <v>46135</v>
      </c>
      <c r="I6" s="22">
        <f>NETWORKDAYS(G6,H6)</f>
        <v>13</v>
      </c>
      <c r="J6" s="23">
        <f>(SUMIF(J7:J28,"완료",K7:K28)+(SUMIF(J7:J28,"진행중",K7:K28)/2)+(SUMIF(J7:J28,"지연중",K7:K28)/2))/SUM(K7:K28)</f>
        <v>0.25342465753424659</v>
      </c>
      <c r="K6" s="24">
        <f>SUM(K7:K32)</f>
        <v>73</v>
      </c>
      <c r="L6" s="25"/>
      <c r="M6" s="44"/>
      <c r="N6" s="5">
        <v>44564</v>
      </c>
      <c r="O6" s="60">
        <v>44572</v>
      </c>
      <c r="P6" s="5">
        <v>44579</v>
      </c>
      <c r="Q6" s="62">
        <v>44586</v>
      </c>
      <c r="R6" s="5">
        <v>44593</v>
      </c>
      <c r="S6" s="63">
        <v>44600</v>
      </c>
      <c r="T6" s="5">
        <v>44607</v>
      </c>
      <c r="U6" s="6">
        <v>44614</v>
      </c>
      <c r="V6" s="5">
        <v>44621</v>
      </c>
      <c r="W6" s="5">
        <v>44628</v>
      </c>
      <c r="X6" s="64">
        <v>44635</v>
      </c>
      <c r="Y6" s="66">
        <v>44642</v>
      </c>
      <c r="Z6" s="67">
        <v>44649</v>
      </c>
      <c r="AA6" s="68">
        <v>44656</v>
      </c>
      <c r="AB6" s="69">
        <v>44663</v>
      </c>
      <c r="AC6" s="70">
        <v>44670</v>
      </c>
      <c r="AD6" s="71">
        <v>44677</v>
      </c>
      <c r="AE6" s="72">
        <v>44684</v>
      </c>
      <c r="AF6" s="73">
        <v>44691</v>
      </c>
      <c r="AG6" s="74">
        <v>44698</v>
      </c>
      <c r="AH6" s="75">
        <v>44705</v>
      </c>
      <c r="AI6" s="76">
        <v>44712</v>
      </c>
      <c r="AJ6" s="5">
        <v>44719</v>
      </c>
      <c r="AK6" s="77">
        <v>44726</v>
      </c>
      <c r="AL6" s="78">
        <v>44733</v>
      </c>
      <c r="AM6" s="79">
        <v>44740</v>
      </c>
      <c r="AN6" s="68">
        <v>44747</v>
      </c>
      <c r="AO6" s="69">
        <v>44754</v>
      </c>
      <c r="AP6" s="70">
        <v>44761</v>
      </c>
      <c r="AQ6" s="90">
        <v>44768</v>
      </c>
      <c r="AR6" s="97">
        <v>44775</v>
      </c>
      <c r="AS6" s="98">
        <v>44782</v>
      </c>
      <c r="AT6" s="99">
        <v>44789</v>
      </c>
      <c r="AU6" s="100">
        <v>44796</v>
      </c>
      <c r="AV6" s="101">
        <v>44803</v>
      </c>
      <c r="AW6" s="82">
        <v>44810</v>
      </c>
      <c r="AX6" s="5">
        <v>44817</v>
      </c>
      <c r="AY6" s="83">
        <v>44824</v>
      </c>
      <c r="AZ6" s="84">
        <v>44831</v>
      </c>
      <c r="BA6" s="8">
        <v>44838</v>
      </c>
      <c r="BB6" s="5">
        <v>44845</v>
      </c>
      <c r="BC6" s="61">
        <v>44852</v>
      </c>
      <c r="BD6" s="105">
        <v>44859</v>
      </c>
      <c r="BE6" s="107">
        <v>44866</v>
      </c>
      <c r="BF6" s="63">
        <v>44873</v>
      </c>
      <c r="BG6" s="64">
        <v>44880</v>
      </c>
      <c r="BH6" s="104">
        <v>44887</v>
      </c>
      <c r="BI6" s="108">
        <v>44894</v>
      </c>
      <c r="BJ6" s="82">
        <v>44901</v>
      </c>
      <c r="BK6" s="85">
        <v>44908</v>
      </c>
      <c r="BL6" s="83">
        <v>44915</v>
      </c>
      <c r="BM6" s="86">
        <v>44922</v>
      </c>
      <c r="BN6" s="11"/>
    </row>
    <row r="7" spans="1:66" ht="15.75" customHeight="1">
      <c r="A7" s="2"/>
      <c r="B7" s="26"/>
      <c r="C7" s="38">
        <v>1</v>
      </c>
      <c r="D7" s="27" t="s">
        <v>20</v>
      </c>
      <c r="E7" s="39"/>
      <c r="F7" s="26"/>
      <c r="G7" s="28">
        <v>46119</v>
      </c>
      <c r="H7" s="28">
        <v>46121</v>
      </c>
      <c r="I7" s="29">
        <f t="shared" ref="I7:I9" si="0">NETWORKDAYS(G7,H7)</f>
        <v>3</v>
      </c>
      <c r="J7" s="30"/>
      <c r="K7" s="31"/>
      <c r="L7" s="32"/>
      <c r="M7" s="33"/>
      <c r="N7" s="5">
        <v>44564</v>
      </c>
      <c r="O7" s="60">
        <v>44572</v>
      </c>
      <c r="P7" s="5">
        <v>44579</v>
      </c>
      <c r="Q7" s="62">
        <v>44586</v>
      </c>
      <c r="R7" s="5">
        <v>44593</v>
      </c>
      <c r="S7" s="63">
        <v>44600</v>
      </c>
      <c r="T7" s="5">
        <v>44607</v>
      </c>
      <c r="U7" s="6">
        <v>44614</v>
      </c>
      <c r="V7" s="5">
        <v>44621</v>
      </c>
      <c r="W7" s="5">
        <v>44628</v>
      </c>
      <c r="X7" s="64">
        <v>44635</v>
      </c>
      <c r="Y7" s="66">
        <v>44642</v>
      </c>
      <c r="Z7" s="67">
        <v>44649</v>
      </c>
      <c r="AA7" s="68">
        <v>44656</v>
      </c>
      <c r="AB7" s="69">
        <v>44663</v>
      </c>
      <c r="AC7" s="70">
        <v>44670</v>
      </c>
      <c r="AD7" s="71">
        <v>44677</v>
      </c>
      <c r="AE7" s="72">
        <v>44684</v>
      </c>
      <c r="AF7" s="73">
        <v>44691</v>
      </c>
      <c r="AG7" s="74">
        <v>44698</v>
      </c>
      <c r="AH7" s="75">
        <v>44705</v>
      </c>
      <c r="AI7" s="76">
        <v>44712</v>
      </c>
      <c r="AJ7" s="5">
        <v>44719</v>
      </c>
      <c r="AK7" s="77">
        <v>44726</v>
      </c>
      <c r="AL7" s="78">
        <v>44733</v>
      </c>
      <c r="AM7" s="79">
        <v>44740</v>
      </c>
      <c r="AN7" s="68">
        <v>44747</v>
      </c>
      <c r="AO7" s="69">
        <v>44754</v>
      </c>
      <c r="AP7" s="70">
        <v>44761</v>
      </c>
      <c r="AQ7" s="90">
        <v>44768</v>
      </c>
      <c r="AR7" s="91">
        <v>44775</v>
      </c>
      <c r="AS7" s="80">
        <v>44782</v>
      </c>
      <c r="AT7" s="81">
        <v>44789</v>
      </c>
      <c r="AU7" s="92">
        <v>44796</v>
      </c>
      <c r="AV7" s="102">
        <v>44803</v>
      </c>
      <c r="AW7" s="82">
        <v>44810</v>
      </c>
      <c r="AX7" s="5">
        <v>44817</v>
      </c>
      <c r="AY7" s="83">
        <v>44824</v>
      </c>
      <c r="AZ7" s="84">
        <v>44831</v>
      </c>
      <c r="BA7" s="8">
        <v>44838</v>
      </c>
      <c r="BB7" s="5">
        <v>44845</v>
      </c>
      <c r="BC7" s="61">
        <v>44852</v>
      </c>
      <c r="BD7" s="105">
        <v>44859</v>
      </c>
      <c r="BE7" s="107">
        <v>44866</v>
      </c>
      <c r="BF7" s="63">
        <v>44873</v>
      </c>
      <c r="BG7" s="64">
        <v>44880</v>
      </c>
      <c r="BH7" s="104">
        <v>44887</v>
      </c>
      <c r="BI7" s="108">
        <v>44894</v>
      </c>
      <c r="BJ7" s="82">
        <v>44901</v>
      </c>
      <c r="BK7" s="85">
        <v>44908</v>
      </c>
      <c r="BL7" s="83">
        <v>44915</v>
      </c>
      <c r="BM7" s="86">
        <v>44922</v>
      </c>
      <c r="BN7" s="11"/>
    </row>
    <row r="8" spans="1:66" ht="68" customHeight="1">
      <c r="A8" s="2"/>
      <c r="B8" s="34"/>
      <c r="C8" s="40"/>
      <c r="D8" s="35"/>
      <c r="E8" s="40">
        <v>1.1000000000000001</v>
      </c>
      <c r="F8" s="36" t="s">
        <v>106</v>
      </c>
      <c r="G8" s="7">
        <v>46119</v>
      </c>
      <c r="H8" s="7">
        <v>46119</v>
      </c>
      <c r="I8" s="50">
        <f t="shared" si="0"/>
        <v>1</v>
      </c>
      <c r="J8" s="47" t="s">
        <v>103</v>
      </c>
      <c r="K8" s="51">
        <v>1</v>
      </c>
      <c r="L8" s="55" t="s">
        <v>80</v>
      </c>
      <c r="M8" s="55" t="s">
        <v>92</v>
      </c>
      <c r="N8" s="5">
        <v>44564</v>
      </c>
      <c r="O8" s="60">
        <v>44572</v>
      </c>
      <c r="P8" s="5">
        <v>44579</v>
      </c>
      <c r="Q8" s="62">
        <v>44586</v>
      </c>
      <c r="R8" s="5">
        <v>44593</v>
      </c>
      <c r="S8" s="63">
        <v>44600</v>
      </c>
      <c r="T8" s="64">
        <v>44607</v>
      </c>
      <c r="U8" s="65">
        <v>44614</v>
      </c>
      <c r="V8" s="5">
        <v>44621</v>
      </c>
      <c r="W8" s="5">
        <v>44628</v>
      </c>
      <c r="X8" s="64">
        <v>44635</v>
      </c>
      <c r="Y8" s="66">
        <v>44642</v>
      </c>
      <c r="Z8" s="67">
        <v>44649</v>
      </c>
      <c r="AA8" s="68">
        <v>44656</v>
      </c>
      <c r="AB8" s="69">
        <v>44663</v>
      </c>
      <c r="AC8" s="70">
        <v>44670</v>
      </c>
      <c r="AD8" s="71">
        <v>44677</v>
      </c>
      <c r="AE8" s="72">
        <v>44684</v>
      </c>
      <c r="AF8" s="73">
        <v>44691</v>
      </c>
      <c r="AG8" s="74">
        <v>44698</v>
      </c>
      <c r="AH8" s="75">
        <v>44705</v>
      </c>
      <c r="AI8" s="76">
        <v>44712</v>
      </c>
      <c r="AJ8" s="5">
        <v>44719</v>
      </c>
      <c r="AK8" s="77">
        <v>44726</v>
      </c>
      <c r="AL8" s="78">
        <v>44733</v>
      </c>
      <c r="AM8" s="79">
        <v>44740</v>
      </c>
      <c r="AN8" s="68">
        <v>44747</v>
      </c>
      <c r="AO8" s="69">
        <v>44754</v>
      </c>
      <c r="AP8" s="70">
        <v>44761</v>
      </c>
      <c r="AQ8" s="90">
        <v>44768</v>
      </c>
      <c r="AR8" s="91">
        <v>44775</v>
      </c>
      <c r="AS8" s="80">
        <v>44782</v>
      </c>
      <c r="AT8" s="81">
        <v>44789</v>
      </c>
      <c r="AU8" s="92">
        <v>44796</v>
      </c>
      <c r="AV8" s="102">
        <v>44803</v>
      </c>
      <c r="AW8" s="82">
        <v>44810</v>
      </c>
      <c r="AX8" s="5">
        <v>44817</v>
      </c>
      <c r="AY8" s="83">
        <v>44824</v>
      </c>
      <c r="AZ8" s="84">
        <v>44831</v>
      </c>
      <c r="BA8" s="8">
        <v>44838</v>
      </c>
      <c r="BB8" s="5">
        <v>44845</v>
      </c>
      <c r="BC8" s="61">
        <v>44852</v>
      </c>
      <c r="BD8" s="105">
        <v>44859</v>
      </c>
      <c r="BE8" s="107">
        <v>44866</v>
      </c>
      <c r="BF8" s="63">
        <v>44873</v>
      </c>
      <c r="BG8" s="64">
        <v>44880</v>
      </c>
      <c r="BH8" s="104">
        <v>44887</v>
      </c>
      <c r="BI8" s="108">
        <v>44894</v>
      </c>
      <c r="BJ8" s="82">
        <v>44901</v>
      </c>
      <c r="BK8" s="85">
        <v>44908</v>
      </c>
      <c r="BL8" s="83">
        <v>44915</v>
      </c>
      <c r="BM8" s="86">
        <v>44922</v>
      </c>
      <c r="BN8" s="11"/>
    </row>
    <row r="9" spans="1:66" ht="68.5" customHeight="1">
      <c r="A9" s="2"/>
      <c r="B9" s="34"/>
      <c r="C9" s="40"/>
      <c r="D9" s="35"/>
      <c r="E9" s="40">
        <v>1.2</v>
      </c>
      <c r="F9" s="36" t="s">
        <v>109</v>
      </c>
      <c r="G9" s="7">
        <v>46119</v>
      </c>
      <c r="H9" s="7">
        <v>46119</v>
      </c>
      <c r="I9" s="50">
        <f t="shared" si="0"/>
        <v>1</v>
      </c>
      <c r="J9" s="47" t="s">
        <v>103</v>
      </c>
      <c r="K9" s="51">
        <v>2</v>
      </c>
      <c r="L9" s="55" t="s">
        <v>96</v>
      </c>
      <c r="M9" s="55" t="s">
        <v>92</v>
      </c>
      <c r="N9" s="5">
        <v>44564</v>
      </c>
      <c r="O9" s="60">
        <v>44572</v>
      </c>
      <c r="P9" s="5">
        <v>44579</v>
      </c>
      <c r="Q9" s="62">
        <v>44586</v>
      </c>
      <c r="R9" s="5">
        <v>44593</v>
      </c>
      <c r="S9" s="63">
        <v>44600</v>
      </c>
      <c r="T9" s="64">
        <v>44607</v>
      </c>
      <c r="U9" s="65">
        <v>44614</v>
      </c>
      <c r="V9" s="5">
        <v>44621</v>
      </c>
      <c r="W9" s="5">
        <v>44628</v>
      </c>
      <c r="X9" s="64">
        <v>44635</v>
      </c>
      <c r="Y9" s="66">
        <v>44642</v>
      </c>
      <c r="Z9" s="67">
        <v>44649</v>
      </c>
      <c r="AA9" s="68">
        <v>44656</v>
      </c>
      <c r="AB9" s="69">
        <v>44663</v>
      </c>
      <c r="AC9" s="70">
        <v>44670</v>
      </c>
      <c r="AD9" s="71">
        <v>44677</v>
      </c>
      <c r="AE9" s="72">
        <v>44684</v>
      </c>
      <c r="AF9" s="73">
        <v>44691</v>
      </c>
      <c r="AG9" s="74">
        <v>44698</v>
      </c>
      <c r="AH9" s="75">
        <v>44705</v>
      </c>
      <c r="AI9" s="76">
        <v>44712</v>
      </c>
      <c r="AJ9" s="5">
        <v>44719</v>
      </c>
      <c r="AK9" s="77">
        <v>44726</v>
      </c>
      <c r="AL9" s="78">
        <v>44733</v>
      </c>
      <c r="AM9" s="79">
        <v>44740</v>
      </c>
      <c r="AN9" s="68">
        <v>44747</v>
      </c>
      <c r="AO9" s="69">
        <v>44754</v>
      </c>
      <c r="AP9" s="70">
        <v>44761</v>
      </c>
      <c r="AQ9" s="90">
        <v>44768</v>
      </c>
      <c r="AR9" s="91">
        <v>44775</v>
      </c>
      <c r="AS9" s="80">
        <v>44782</v>
      </c>
      <c r="AT9" s="81">
        <v>44789</v>
      </c>
      <c r="AU9" s="92">
        <v>44796</v>
      </c>
      <c r="AV9" s="102">
        <v>44803</v>
      </c>
      <c r="AW9" s="82">
        <v>44810</v>
      </c>
      <c r="AX9" s="5">
        <v>44817</v>
      </c>
      <c r="AY9" s="83">
        <v>44824</v>
      </c>
      <c r="AZ9" s="84">
        <v>44831</v>
      </c>
      <c r="BA9" s="8">
        <v>44838</v>
      </c>
      <c r="BB9" s="5">
        <v>44845</v>
      </c>
      <c r="BC9" s="61">
        <v>44852</v>
      </c>
      <c r="BD9" s="105">
        <v>44859</v>
      </c>
      <c r="BE9" s="107">
        <v>44866</v>
      </c>
      <c r="BF9" s="63">
        <v>44873</v>
      </c>
      <c r="BG9" s="64">
        <v>44880</v>
      </c>
      <c r="BH9" s="104">
        <v>44887</v>
      </c>
      <c r="BI9" s="108">
        <v>44894</v>
      </c>
      <c r="BJ9" s="82">
        <v>44901</v>
      </c>
      <c r="BK9" s="85">
        <v>44908</v>
      </c>
      <c r="BL9" s="83">
        <v>44915</v>
      </c>
      <c r="BM9" s="86">
        <v>44922</v>
      </c>
      <c r="BN9" s="11"/>
    </row>
    <row r="10" spans="1:66" ht="15.5" customHeight="1">
      <c r="A10" s="2"/>
      <c r="B10" s="26"/>
      <c r="C10" s="38">
        <v>2</v>
      </c>
      <c r="D10" s="27" t="s">
        <v>116</v>
      </c>
      <c r="E10" s="39"/>
      <c r="F10" s="26"/>
      <c r="G10" s="28">
        <v>46121</v>
      </c>
      <c r="H10" s="28">
        <v>46121</v>
      </c>
      <c r="I10" s="53">
        <f>NETWORKDAYS(G10,H10)</f>
        <v>1</v>
      </c>
      <c r="J10" s="48"/>
      <c r="K10" s="54"/>
      <c r="L10" s="56"/>
      <c r="M10" s="56"/>
      <c r="N10" s="5">
        <v>44564</v>
      </c>
      <c r="O10" s="60">
        <v>44572</v>
      </c>
      <c r="P10" s="5">
        <v>44579</v>
      </c>
      <c r="Q10" s="62">
        <v>44586</v>
      </c>
      <c r="R10" s="5">
        <v>44593</v>
      </c>
      <c r="S10" s="63">
        <v>44600</v>
      </c>
      <c r="T10" s="64">
        <v>44607</v>
      </c>
      <c r="U10" s="65">
        <v>44614</v>
      </c>
      <c r="V10" s="5">
        <v>44621</v>
      </c>
      <c r="W10" s="5">
        <v>44628</v>
      </c>
      <c r="X10" s="64">
        <v>44635</v>
      </c>
      <c r="Y10" s="66">
        <v>44642</v>
      </c>
      <c r="Z10" s="67">
        <v>44649</v>
      </c>
      <c r="AA10" s="68">
        <v>44656</v>
      </c>
      <c r="AB10" s="69">
        <v>44663</v>
      </c>
      <c r="AC10" s="70">
        <v>44670</v>
      </c>
      <c r="AD10" s="71">
        <v>44677</v>
      </c>
      <c r="AE10" s="72">
        <v>44684</v>
      </c>
      <c r="AF10" s="73">
        <v>44691</v>
      </c>
      <c r="AG10" s="74">
        <v>44698</v>
      </c>
      <c r="AH10" s="75">
        <v>44705</v>
      </c>
      <c r="AI10" s="76">
        <v>44712</v>
      </c>
      <c r="AJ10" s="5">
        <v>44719</v>
      </c>
      <c r="AK10" s="77">
        <v>44726</v>
      </c>
      <c r="AL10" s="78">
        <v>44733</v>
      </c>
      <c r="AM10" s="79">
        <v>44740</v>
      </c>
      <c r="AN10" s="68">
        <v>44747</v>
      </c>
      <c r="AO10" s="69">
        <v>44754</v>
      </c>
      <c r="AP10" s="70">
        <v>44761</v>
      </c>
      <c r="AQ10" s="90">
        <v>44768</v>
      </c>
      <c r="AR10" s="91">
        <v>44775</v>
      </c>
      <c r="AS10" s="80">
        <v>44782</v>
      </c>
      <c r="AT10" s="81">
        <v>44789</v>
      </c>
      <c r="AU10" s="92">
        <v>44796</v>
      </c>
      <c r="AV10" s="102">
        <v>44803</v>
      </c>
      <c r="AW10" s="82">
        <v>44810</v>
      </c>
      <c r="AX10" s="5">
        <v>44817</v>
      </c>
      <c r="AY10" s="83">
        <v>44824</v>
      </c>
      <c r="AZ10" s="84">
        <v>44831</v>
      </c>
      <c r="BA10" s="8">
        <v>44838</v>
      </c>
      <c r="BB10" s="5">
        <v>44845</v>
      </c>
      <c r="BC10" s="61">
        <v>44852</v>
      </c>
      <c r="BD10" s="105">
        <v>44859</v>
      </c>
      <c r="BE10" s="107">
        <v>44866</v>
      </c>
      <c r="BF10" s="63">
        <v>44873</v>
      </c>
      <c r="BG10" s="64">
        <v>44880</v>
      </c>
      <c r="BH10" s="104">
        <v>44887</v>
      </c>
      <c r="BI10" s="108">
        <v>44894</v>
      </c>
      <c r="BJ10" s="82">
        <v>44901</v>
      </c>
      <c r="BK10" s="85">
        <v>44908</v>
      </c>
      <c r="BL10" s="83">
        <v>44915</v>
      </c>
      <c r="BM10" s="86">
        <v>44922</v>
      </c>
      <c r="BN10" s="11"/>
    </row>
    <row r="11" spans="1:66" ht="69" customHeight="1">
      <c r="E11" s="58">
        <v>2.1</v>
      </c>
      <c r="F11" s="59" t="s">
        <v>2</v>
      </c>
      <c r="G11" s="7">
        <v>46119</v>
      </c>
      <c r="H11" s="7">
        <v>46119</v>
      </c>
      <c r="I11" s="45">
        <f>NETWORKDAYS(G11,H11)</f>
        <v>1</v>
      </c>
      <c r="J11" s="47" t="s">
        <v>103</v>
      </c>
      <c r="K11" s="46">
        <v>5</v>
      </c>
      <c r="L11" s="4" t="s">
        <v>98</v>
      </c>
      <c r="M11" s="55" t="s">
        <v>92</v>
      </c>
      <c r="N11" s="5">
        <v>44564</v>
      </c>
      <c r="O11" s="60">
        <v>44572</v>
      </c>
      <c r="P11" s="5">
        <v>44579</v>
      </c>
      <c r="Q11" s="62">
        <v>44586</v>
      </c>
      <c r="R11" s="5">
        <v>44593</v>
      </c>
      <c r="S11" s="63">
        <v>44600</v>
      </c>
      <c r="T11" s="64">
        <v>44607</v>
      </c>
      <c r="U11" s="65">
        <v>44614</v>
      </c>
      <c r="V11" s="5">
        <v>44621</v>
      </c>
      <c r="W11" s="5">
        <v>44628</v>
      </c>
      <c r="X11" s="64">
        <v>44635</v>
      </c>
      <c r="Y11" s="66">
        <v>44642</v>
      </c>
      <c r="Z11" s="67">
        <v>44649</v>
      </c>
      <c r="AA11" s="68">
        <v>44656</v>
      </c>
      <c r="AB11" s="69">
        <v>44663</v>
      </c>
      <c r="AC11" s="70">
        <v>44670</v>
      </c>
      <c r="AD11" s="71">
        <v>44677</v>
      </c>
      <c r="AE11" s="72">
        <v>44684</v>
      </c>
      <c r="AF11" s="73">
        <v>44691</v>
      </c>
      <c r="AG11" s="74">
        <v>44698</v>
      </c>
      <c r="AH11" s="75">
        <v>44705</v>
      </c>
      <c r="AI11" s="76">
        <v>44712</v>
      </c>
      <c r="AJ11" s="5">
        <v>44719</v>
      </c>
      <c r="AK11" s="77">
        <v>44726</v>
      </c>
      <c r="AL11" s="78">
        <v>44733</v>
      </c>
      <c r="AM11" s="79">
        <v>44740</v>
      </c>
      <c r="AN11" s="68">
        <v>44747</v>
      </c>
      <c r="AO11" s="69">
        <v>44754</v>
      </c>
      <c r="AP11" s="70">
        <v>44761</v>
      </c>
      <c r="AQ11" s="90">
        <v>44768</v>
      </c>
      <c r="AR11" s="91">
        <v>44775</v>
      </c>
      <c r="AS11" s="80">
        <v>44782</v>
      </c>
      <c r="AT11" s="81">
        <v>44789</v>
      </c>
      <c r="AU11" s="92">
        <v>44796</v>
      </c>
      <c r="AV11" s="102">
        <v>44803</v>
      </c>
      <c r="AW11" s="82">
        <v>44810</v>
      </c>
      <c r="AX11" s="5">
        <v>44817</v>
      </c>
      <c r="AY11" s="83">
        <v>44824</v>
      </c>
      <c r="AZ11" s="84">
        <v>44831</v>
      </c>
      <c r="BA11" s="8">
        <v>44838</v>
      </c>
      <c r="BB11" s="5">
        <v>44845</v>
      </c>
      <c r="BC11" s="61">
        <v>44852</v>
      </c>
      <c r="BD11" s="105">
        <v>44859</v>
      </c>
      <c r="BE11" s="107">
        <v>44866</v>
      </c>
      <c r="BF11" s="63">
        <v>44873</v>
      </c>
      <c r="BG11" s="64">
        <v>44880</v>
      </c>
      <c r="BH11" s="104">
        <v>44887</v>
      </c>
      <c r="BI11" s="108">
        <v>44894</v>
      </c>
      <c r="BJ11" s="82">
        <v>44901</v>
      </c>
      <c r="BK11" s="85">
        <v>44908</v>
      </c>
      <c r="BL11" s="83">
        <v>44915</v>
      </c>
      <c r="BM11" s="86">
        <v>44922</v>
      </c>
      <c r="BN11" s="11"/>
    </row>
    <row r="12" spans="1:66" ht="15.5" customHeight="1">
      <c r="A12" s="2"/>
      <c r="B12" s="26"/>
      <c r="C12" s="38">
        <v>4</v>
      </c>
      <c r="D12" s="27" t="s">
        <v>22</v>
      </c>
      <c r="E12" s="39"/>
      <c r="F12" s="26"/>
      <c r="G12" s="28">
        <v>46122</v>
      </c>
      <c r="H12" s="28">
        <v>46122</v>
      </c>
      <c r="I12" s="53">
        <f>NETWORKDAYS(G12,H12)</f>
        <v>1</v>
      </c>
      <c r="J12" s="48"/>
      <c r="K12" s="54"/>
      <c r="L12" s="56"/>
      <c r="M12" s="56"/>
      <c r="N12" s="5">
        <v>44564</v>
      </c>
      <c r="O12" s="60">
        <v>44572</v>
      </c>
      <c r="P12" s="5">
        <v>44579</v>
      </c>
      <c r="Q12" s="62">
        <v>44586</v>
      </c>
      <c r="R12" s="5">
        <v>44593</v>
      </c>
      <c r="S12" s="63">
        <v>44600</v>
      </c>
      <c r="T12" s="64">
        <v>44607</v>
      </c>
      <c r="U12" s="65">
        <v>44614</v>
      </c>
      <c r="V12" s="5">
        <v>44621</v>
      </c>
      <c r="W12" s="5">
        <v>44628</v>
      </c>
      <c r="X12" s="64">
        <v>44635</v>
      </c>
      <c r="Y12" s="66">
        <v>44642</v>
      </c>
      <c r="Z12" s="67">
        <v>44649</v>
      </c>
      <c r="AA12" s="68">
        <v>44656</v>
      </c>
      <c r="AB12" s="69">
        <v>44663</v>
      </c>
      <c r="AC12" s="70">
        <v>44670</v>
      </c>
      <c r="AD12" s="71">
        <v>44677</v>
      </c>
      <c r="AE12" s="72">
        <v>44684</v>
      </c>
      <c r="AF12" s="73">
        <v>44691</v>
      </c>
      <c r="AG12" s="74">
        <v>44698</v>
      </c>
      <c r="AH12" s="75">
        <v>44705</v>
      </c>
      <c r="AI12" s="76">
        <v>44712</v>
      </c>
      <c r="AJ12" s="5">
        <v>44719</v>
      </c>
      <c r="AK12" s="77">
        <v>44726</v>
      </c>
      <c r="AL12" s="78">
        <v>44733</v>
      </c>
      <c r="AM12" s="79">
        <v>44740</v>
      </c>
      <c r="AN12" s="68">
        <v>44747</v>
      </c>
      <c r="AO12" s="69">
        <v>44754</v>
      </c>
      <c r="AP12" s="70">
        <v>44761</v>
      </c>
      <c r="AQ12" s="90">
        <v>44768</v>
      </c>
      <c r="AR12" s="91">
        <v>44775</v>
      </c>
      <c r="AS12" s="80">
        <v>44782</v>
      </c>
      <c r="AT12" s="81">
        <v>44789</v>
      </c>
      <c r="AU12" s="92">
        <v>44796</v>
      </c>
      <c r="AV12" s="102">
        <v>44803</v>
      </c>
      <c r="AW12" s="82">
        <v>44810</v>
      </c>
      <c r="AX12" s="5">
        <v>44817</v>
      </c>
      <c r="AY12" s="83">
        <v>44824</v>
      </c>
      <c r="AZ12" s="84">
        <v>44831</v>
      </c>
      <c r="BA12" s="8">
        <v>44838</v>
      </c>
      <c r="BB12" s="5">
        <v>44845</v>
      </c>
      <c r="BC12" s="61">
        <v>44852</v>
      </c>
      <c r="BD12" s="105">
        <v>44859</v>
      </c>
      <c r="BE12" s="107">
        <v>44866</v>
      </c>
      <c r="BF12" s="63">
        <v>44873</v>
      </c>
      <c r="BG12" s="64">
        <v>44880</v>
      </c>
      <c r="BH12" s="104">
        <v>44887</v>
      </c>
      <c r="BI12" s="108">
        <v>44894</v>
      </c>
      <c r="BJ12" s="82">
        <v>44901</v>
      </c>
      <c r="BK12" s="85">
        <v>44908</v>
      </c>
      <c r="BL12" s="83">
        <v>44915</v>
      </c>
      <c r="BM12" s="86">
        <v>44922</v>
      </c>
      <c r="BN12" s="11"/>
    </row>
    <row r="13" spans="1:66" ht="69" customHeight="1">
      <c r="E13" s="58">
        <v>3.1</v>
      </c>
      <c r="F13" s="59" t="s">
        <v>3</v>
      </c>
      <c r="G13" s="7">
        <v>46119</v>
      </c>
      <c r="H13" s="7">
        <v>46122</v>
      </c>
      <c r="I13" s="45">
        <f t="shared" ref="I13:I14" si="1">NETWORKDAYS(G13,H13)</f>
        <v>4</v>
      </c>
      <c r="J13" s="47" t="s">
        <v>110</v>
      </c>
      <c r="K13" s="46">
        <v>5</v>
      </c>
      <c r="L13" s="4" t="s">
        <v>123</v>
      </c>
      <c r="M13" s="55" t="s">
        <v>92</v>
      </c>
      <c r="N13" s="5">
        <v>44564</v>
      </c>
      <c r="O13" s="60">
        <v>44572</v>
      </c>
      <c r="P13" s="5">
        <v>44579</v>
      </c>
      <c r="Q13" s="62">
        <v>44586</v>
      </c>
      <c r="R13" s="5">
        <v>44593</v>
      </c>
      <c r="S13" s="63">
        <v>44600</v>
      </c>
      <c r="T13" s="64">
        <v>44607</v>
      </c>
      <c r="U13" s="65">
        <v>44614</v>
      </c>
      <c r="V13" s="5">
        <v>44621</v>
      </c>
      <c r="W13" s="5">
        <v>44628</v>
      </c>
      <c r="X13" s="64">
        <v>44635</v>
      </c>
      <c r="Y13" s="66">
        <v>44642</v>
      </c>
      <c r="Z13" s="67">
        <v>44649</v>
      </c>
      <c r="AA13" s="68">
        <v>44656</v>
      </c>
      <c r="AB13" s="69">
        <v>44663</v>
      </c>
      <c r="AC13" s="70">
        <v>44670</v>
      </c>
      <c r="AD13" s="71">
        <v>44677</v>
      </c>
      <c r="AE13" s="72">
        <v>44684</v>
      </c>
      <c r="AF13" s="73">
        <v>44691</v>
      </c>
      <c r="AG13" s="74">
        <v>44698</v>
      </c>
      <c r="AH13" s="75">
        <v>44705</v>
      </c>
      <c r="AI13" s="76">
        <v>44712</v>
      </c>
      <c r="AJ13" s="5">
        <v>44719</v>
      </c>
      <c r="AK13" s="77">
        <v>44726</v>
      </c>
      <c r="AL13" s="78">
        <v>44733</v>
      </c>
      <c r="AM13" s="79">
        <v>44740</v>
      </c>
      <c r="AN13" s="68">
        <v>44747</v>
      </c>
      <c r="AO13" s="69">
        <v>44754</v>
      </c>
      <c r="AP13" s="70">
        <v>44761</v>
      </c>
      <c r="AQ13" s="90">
        <v>44768</v>
      </c>
      <c r="AR13" s="91">
        <v>44775</v>
      </c>
      <c r="AS13" s="80">
        <v>44782</v>
      </c>
      <c r="AT13" s="81">
        <v>44789</v>
      </c>
      <c r="AU13" s="92">
        <v>44796</v>
      </c>
      <c r="AV13" s="102">
        <v>44803</v>
      </c>
      <c r="AW13" s="82">
        <v>44810</v>
      </c>
      <c r="AX13" s="5">
        <v>44817</v>
      </c>
      <c r="AY13" s="83">
        <v>44824</v>
      </c>
      <c r="AZ13" s="84">
        <v>44831</v>
      </c>
      <c r="BA13" s="8">
        <v>44838</v>
      </c>
      <c r="BB13" s="5">
        <v>44845</v>
      </c>
      <c r="BC13" s="61">
        <v>44852</v>
      </c>
      <c r="BD13" s="105">
        <v>44859</v>
      </c>
      <c r="BE13" s="107">
        <v>44866</v>
      </c>
      <c r="BF13" s="63">
        <v>44873</v>
      </c>
      <c r="BG13" s="64">
        <v>44880</v>
      </c>
      <c r="BH13" s="104">
        <v>44887</v>
      </c>
      <c r="BI13" s="108">
        <v>44894</v>
      </c>
      <c r="BJ13" s="82">
        <v>44901</v>
      </c>
      <c r="BK13" s="85">
        <v>44908</v>
      </c>
      <c r="BL13" s="83">
        <v>44915</v>
      </c>
      <c r="BM13" s="86">
        <v>44922</v>
      </c>
      <c r="BN13" s="11"/>
    </row>
    <row r="14" spans="1:66" ht="69" customHeight="1">
      <c r="E14" s="58">
        <v>3.2</v>
      </c>
      <c r="F14" s="59" t="s">
        <v>105</v>
      </c>
      <c r="G14" s="7">
        <v>46119</v>
      </c>
      <c r="H14" s="7">
        <v>46122</v>
      </c>
      <c r="I14" s="45">
        <f t="shared" si="1"/>
        <v>4</v>
      </c>
      <c r="J14" s="47" t="s">
        <v>110</v>
      </c>
      <c r="K14" s="46">
        <v>5</v>
      </c>
      <c r="L14" s="4" t="s">
        <v>98</v>
      </c>
      <c r="M14" s="55" t="s">
        <v>92</v>
      </c>
      <c r="N14" s="5">
        <v>44564</v>
      </c>
      <c r="O14" s="60">
        <v>44572</v>
      </c>
      <c r="P14" s="5">
        <v>44579</v>
      </c>
      <c r="Q14" s="62">
        <v>44586</v>
      </c>
      <c r="R14" s="5">
        <v>44593</v>
      </c>
      <c r="S14" s="63">
        <v>44600</v>
      </c>
      <c r="T14" s="64">
        <v>44607</v>
      </c>
      <c r="U14" s="65">
        <v>44614</v>
      </c>
      <c r="V14" s="5">
        <v>44621</v>
      </c>
      <c r="W14" s="5">
        <v>44628</v>
      </c>
      <c r="X14" s="64">
        <v>44635</v>
      </c>
      <c r="Y14" s="66">
        <v>44642</v>
      </c>
      <c r="Z14" s="67">
        <v>44649</v>
      </c>
      <c r="AA14" s="68">
        <v>44656</v>
      </c>
      <c r="AB14" s="69">
        <v>44663</v>
      </c>
      <c r="AC14" s="70">
        <v>44670</v>
      </c>
      <c r="AD14" s="71">
        <v>44677</v>
      </c>
      <c r="AE14" s="72">
        <v>44684</v>
      </c>
      <c r="AF14" s="73">
        <v>44691</v>
      </c>
      <c r="AG14" s="74">
        <v>44698</v>
      </c>
      <c r="AH14" s="75">
        <v>44705</v>
      </c>
      <c r="AI14" s="76">
        <v>44712</v>
      </c>
      <c r="AJ14" s="5">
        <v>44719</v>
      </c>
      <c r="AK14" s="77">
        <v>44726</v>
      </c>
      <c r="AL14" s="78">
        <v>44733</v>
      </c>
      <c r="AM14" s="79">
        <v>44740</v>
      </c>
      <c r="AN14" s="68">
        <v>44747</v>
      </c>
      <c r="AO14" s="69">
        <v>44754</v>
      </c>
      <c r="AP14" s="70">
        <v>44761</v>
      </c>
      <c r="AQ14" s="90">
        <v>44768</v>
      </c>
      <c r="AR14" s="91">
        <v>44775</v>
      </c>
      <c r="AS14" s="80">
        <v>44782</v>
      </c>
      <c r="AT14" s="81">
        <v>44789</v>
      </c>
      <c r="AU14" s="92">
        <v>44796</v>
      </c>
      <c r="AV14" s="102">
        <v>44803</v>
      </c>
      <c r="AW14" s="82">
        <v>44810</v>
      </c>
      <c r="AX14" s="5">
        <v>44817</v>
      </c>
      <c r="AY14" s="83">
        <v>44824</v>
      </c>
      <c r="AZ14" s="84">
        <v>44831</v>
      </c>
      <c r="BA14" s="8">
        <v>44838</v>
      </c>
      <c r="BB14" s="5">
        <v>44845</v>
      </c>
      <c r="BC14" s="61">
        <v>44852</v>
      </c>
      <c r="BD14" s="105">
        <v>44859</v>
      </c>
      <c r="BE14" s="107">
        <v>44866</v>
      </c>
      <c r="BF14" s="63">
        <v>44873</v>
      </c>
      <c r="BG14" s="64">
        <v>44880</v>
      </c>
      <c r="BH14" s="104">
        <v>44887</v>
      </c>
      <c r="BI14" s="108">
        <v>44894</v>
      </c>
      <c r="BJ14" s="82">
        <v>44901</v>
      </c>
      <c r="BK14" s="85">
        <v>44908</v>
      </c>
      <c r="BL14" s="83">
        <v>44915</v>
      </c>
      <c r="BM14" s="86">
        <v>44922</v>
      </c>
      <c r="BN14" s="11"/>
    </row>
    <row r="15" spans="1:66" ht="69" customHeight="1">
      <c r="E15" s="58">
        <v>3.3</v>
      </c>
      <c r="F15" s="59" t="s">
        <v>0</v>
      </c>
      <c r="G15" s="7">
        <v>46119</v>
      </c>
      <c r="H15" s="7">
        <v>46122</v>
      </c>
      <c r="I15" s="45">
        <f>NETWORKDAYS(G15,H15)</f>
        <v>4</v>
      </c>
      <c r="J15" s="47" t="s">
        <v>110</v>
      </c>
      <c r="K15" s="46">
        <v>5</v>
      </c>
      <c r="L15" s="4" t="s">
        <v>98</v>
      </c>
      <c r="M15" s="55" t="s">
        <v>92</v>
      </c>
      <c r="N15" s="5">
        <v>44564</v>
      </c>
      <c r="O15" s="60">
        <v>44572</v>
      </c>
      <c r="P15" s="5">
        <v>44579</v>
      </c>
      <c r="Q15" s="62">
        <v>44586</v>
      </c>
      <c r="R15" s="5">
        <v>44593</v>
      </c>
      <c r="S15" s="63">
        <v>44600</v>
      </c>
      <c r="T15" s="64">
        <v>44607</v>
      </c>
      <c r="U15" s="65">
        <v>44614</v>
      </c>
      <c r="V15" s="5">
        <v>44621</v>
      </c>
      <c r="W15" s="5">
        <v>44628</v>
      </c>
      <c r="X15" s="64">
        <v>44635</v>
      </c>
      <c r="Y15" s="66">
        <v>44642</v>
      </c>
      <c r="Z15" s="67">
        <v>44649</v>
      </c>
      <c r="AA15" s="68">
        <v>44656</v>
      </c>
      <c r="AB15" s="69">
        <v>44663</v>
      </c>
      <c r="AC15" s="70">
        <v>44670</v>
      </c>
      <c r="AD15" s="71">
        <v>44677</v>
      </c>
      <c r="AE15" s="72">
        <v>44684</v>
      </c>
      <c r="AF15" s="73">
        <v>44691</v>
      </c>
      <c r="AG15" s="74">
        <v>44698</v>
      </c>
      <c r="AH15" s="75">
        <v>44705</v>
      </c>
      <c r="AI15" s="76">
        <v>44712</v>
      </c>
      <c r="AJ15" s="5">
        <v>44719</v>
      </c>
      <c r="AK15" s="77">
        <v>44726</v>
      </c>
      <c r="AL15" s="78">
        <v>44733</v>
      </c>
      <c r="AM15" s="79">
        <v>44740</v>
      </c>
      <c r="AN15" s="68">
        <v>44747</v>
      </c>
      <c r="AO15" s="69">
        <v>44754</v>
      </c>
      <c r="AP15" s="70">
        <v>44761</v>
      </c>
      <c r="AQ15" s="90">
        <v>44768</v>
      </c>
      <c r="AR15" s="91">
        <v>44775</v>
      </c>
      <c r="AS15" s="80">
        <v>44782</v>
      </c>
      <c r="AT15" s="81">
        <v>44789</v>
      </c>
      <c r="AU15" s="92">
        <v>44796</v>
      </c>
      <c r="AV15" s="102">
        <v>44803</v>
      </c>
      <c r="AW15" s="82">
        <v>44810</v>
      </c>
      <c r="AX15" s="5">
        <v>44817</v>
      </c>
      <c r="AY15" s="83">
        <v>44824</v>
      </c>
      <c r="AZ15" s="84">
        <v>44831</v>
      </c>
      <c r="BA15" s="8">
        <v>44838</v>
      </c>
      <c r="BB15" s="5">
        <v>44845</v>
      </c>
      <c r="BC15" s="61">
        <v>44852</v>
      </c>
      <c r="BD15" s="105">
        <v>44859</v>
      </c>
      <c r="BE15" s="107">
        <v>44866</v>
      </c>
      <c r="BF15" s="63">
        <v>44873</v>
      </c>
      <c r="BG15" s="64">
        <v>44880</v>
      </c>
      <c r="BH15" s="104">
        <v>44887</v>
      </c>
      <c r="BI15" s="108">
        <v>44894</v>
      </c>
      <c r="BJ15" s="82">
        <v>44901</v>
      </c>
      <c r="BK15" s="85">
        <v>44908</v>
      </c>
      <c r="BL15" s="83">
        <v>44915</v>
      </c>
      <c r="BM15" s="86">
        <v>44922</v>
      </c>
      <c r="BN15" s="11"/>
    </row>
    <row r="16" spans="1:66" ht="15.5" customHeight="1">
      <c r="A16" s="2"/>
      <c r="B16" s="26"/>
      <c r="C16" s="38">
        <v>5</v>
      </c>
      <c r="D16" s="27" t="s">
        <v>21</v>
      </c>
      <c r="E16" s="39"/>
      <c r="F16" s="26"/>
      <c r="G16" s="28">
        <v>46122</v>
      </c>
      <c r="H16" s="28">
        <v>46123</v>
      </c>
      <c r="I16" s="53">
        <f>NETWORKDAYS(G16,H16)</f>
        <v>1</v>
      </c>
      <c r="J16" s="48"/>
      <c r="K16" s="54"/>
      <c r="L16" s="56"/>
      <c r="M16" s="56"/>
      <c r="N16" s="5">
        <v>44564</v>
      </c>
      <c r="O16" s="60">
        <v>44572</v>
      </c>
      <c r="P16" s="5">
        <v>44579</v>
      </c>
      <c r="Q16" s="62">
        <v>44586</v>
      </c>
      <c r="R16" s="5">
        <v>44593</v>
      </c>
      <c r="S16" s="63">
        <v>44600</v>
      </c>
      <c r="T16" s="64">
        <v>44607</v>
      </c>
      <c r="U16" s="65">
        <v>44614</v>
      </c>
      <c r="V16" s="5">
        <v>44621</v>
      </c>
      <c r="W16" s="5">
        <v>44628</v>
      </c>
      <c r="X16" s="64">
        <v>44635</v>
      </c>
      <c r="Y16" s="66">
        <v>44642</v>
      </c>
      <c r="Z16" s="67">
        <v>44649</v>
      </c>
      <c r="AA16" s="68">
        <v>44656</v>
      </c>
      <c r="AB16" s="69">
        <v>44663</v>
      </c>
      <c r="AC16" s="70">
        <v>44670</v>
      </c>
      <c r="AD16" s="71">
        <v>44677</v>
      </c>
      <c r="AE16" s="72">
        <v>44684</v>
      </c>
      <c r="AF16" s="73">
        <v>44691</v>
      </c>
      <c r="AG16" s="74">
        <v>44698</v>
      </c>
      <c r="AH16" s="75">
        <v>44705</v>
      </c>
      <c r="AI16" s="76">
        <v>44712</v>
      </c>
      <c r="AJ16" s="5">
        <v>44719</v>
      </c>
      <c r="AK16" s="77">
        <v>44726</v>
      </c>
      <c r="AL16" s="78">
        <v>44733</v>
      </c>
      <c r="AM16" s="79">
        <v>44740</v>
      </c>
      <c r="AN16" s="68">
        <v>44747</v>
      </c>
      <c r="AO16" s="69">
        <v>44754</v>
      </c>
      <c r="AP16" s="70">
        <v>44761</v>
      </c>
      <c r="AQ16" s="90">
        <v>44768</v>
      </c>
      <c r="AR16" s="91">
        <v>44775</v>
      </c>
      <c r="AS16" s="80">
        <v>44782</v>
      </c>
      <c r="AT16" s="81">
        <v>44789</v>
      </c>
      <c r="AU16" s="92">
        <v>44796</v>
      </c>
      <c r="AV16" s="102">
        <v>44803</v>
      </c>
      <c r="AW16" s="82">
        <v>44810</v>
      </c>
      <c r="AX16" s="5">
        <v>44817</v>
      </c>
      <c r="AY16" s="83">
        <v>44824</v>
      </c>
      <c r="AZ16" s="84">
        <v>44831</v>
      </c>
      <c r="BA16" s="8">
        <v>44838</v>
      </c>
      <c r="BB16" s="5">
        <v>44845</v>
      </c>
      <c r="BC16" s="61">
        <v>44852</v>
      </c>
      <c r="BD16" s="105">
        <v>44859</v>
      </c>
      <c r="BE16" s="107">
        <v>44866</v>
      </c>
      <c r="BF16" s="63">
        <v>44873</v>
      </c>
      <c r="BG16" s="64">
        <v>44880</v>
      </c>
      <c r="BH16" s="104">
        <v>44887</v>
      </c>
      <c r="BI16" s="108">
        <v>44894</v>
      </c>
      <c r="BJ16" s="82">
        <v>44901</v>
      </c>
      <c r="BK16" s="85">
        <v>44908</v>
      </c>
      <c r="BL16" s="83">
        <v>44915</v>
      </c>
      <c r="BM16" s="86">
        <v>44922</v>
      </c>
      <c r="BN16" s="11"/>
    </row>
    <row r="17" spans="1:66" ht="69" customHeight="1">
      <c r="E17" s="58">
        <v>4.0999999999999996</v>
      </c>
      <c r="F17" s="59" t="s">
        <v>102</v>
      </c>
      <c r="G17" s="7">
        <v>46117</v>
      </c>
      <c r="H17" s="7">
        <v>46123</v>
      </c>
      <c r="I17" s="45">
        <f t="shared" ref="I17:I19" si="2">NETWORKDAYS(G17,H17)</f>
        <v>5</v>
      </c>
      <c r="J17" s="45" t="s">
        <v>19</v>
      </c>
      <c r="K17" s="46">
        <v>5</v>
      </c>
      <c r="M17" s="55" t="s">
        <v>92</v>
      </c>
      <c r="N17" s="5"/>
      <c r="O17" s="60"/>
      <c r="P17" s="5"/>
      <c r="Q17" s="62"/>
      <c r="R17" s="5"/>
      <c r="S17" s="63"/>
      <c r="T17" s="64"/>
      <c r="U17" s="65"/>
      <c r="V17" s="5"/>
      <c r="W17" s="5"/>
      <c r="X17" s="64"/>
      <c r="Y17" s="66"/>
      <c r="Z17" s="67"/>
      <c r="AA17" s="68"/>
      <c r="AB17" s="69"/>
      <c r="AC17" s="70"/>
      <c r="AD17" s="71"/>
      <c r="AE17" s="72"/>
      <c r="AF17" s="73"/>
      <c r="AG17" s="74"/>
      <c r="AH17" s="75"/>
      <c r="AI17" s="76"/>
      <c r="AJ17" s="5"/>
      <c r="AK17" s="77"/>
      <c r="AL17" s="78"/>
      <c r="AM17" s="79"/>
      <c r="AN17" s="68"/>
      <c r="AO17" s="69"/>
      <c r="AP17" s="70"/>
      <c r="AQ17" s="90"/>
      <c r="AR17" s="91"/>
      <c r="AS17" s="80"/>
      <c r="AT17" s="81"/>
      <c r="AU17" s="92"/>
      <c r="AV17" s="102"/>
      <c r="AW17" s="82"/>
      <c r="AX17" s="5"/>
      <c r="AY17" s="83"/>
      <c r="AZ17" s="84"/>
      <c r="BA17" s="8"/>
      <c r="BB17" s="5"/>
      <c r="BC17" s="61"/>
      <c r="BD17" s="105"/>
      <c r="BE17" s="107"/>
      <c r="BF17" s="63"/>
      <c r="BG17" s="64"/>
      <c r="BH17" s="104"/>
      <c r="BI17" s="108"/>
      <c r="BJ17" s="82"/>
      <c r="BK17" s="85"/>
      <c r="BL17" s="83"/>
      <c r="BM17" s="86"/>
      <c r="BN17" s="11"/>
    </row>
    <row r="18" spans="1:66" ht="69" customHeight="1">
      <c r="E18" s="58">
        <v>4.0999999999999996</v>
      </c>
      <c r="F18" s="59" t="s">
        <v>1</v>
      </c>
      <c r="G18" s="7">
        <v>46118</v>
      </c>
      <c r="H18" s="7">
        <v>46124</v>
      </c>
      <c r="I18" s="45">
        <f t="shared" si="2"/>
        <v>5</v>
      </c>
      <c r="J18" s="45" t="s">
        <v>19</v>
      </c>
      <c r="K18" s="46">
        <v>5</v>
      </c>
      <c r="M18" s="55" t="s">
        <v>92</v>
      </c>
      <c r="N18" s="5"/>
      <c r="O18" s="60"/>
      <c r="P18" s="5"/>
      <c r="Q18" s="62"/>
      <c r="R18" s="5"/>
      <c r="S18" s="63"/>
      <c r="T18" s="64"/>
      <c r="U18" s="65"/>
      <c r="V18" s="5"/>
      <c r="W18" s="5"/>
      <c r="X18" s="64"/>
      <c r="Y18" s="66"/>
      <c r="Z18" s="67"/>
      <c r="AA18" s="68"/>
      <c r="AB18" s="69"/>
      <c r="AC18" s="70"/>
      <c r="AD18" s="71"/>
      <c r="AE18" s="72"/>
      <c r="AF18" s="73"/>
      <c r="AG18" s="74"/>
      <c r="AH18" s="75"/>
      <c r="AI18" s="76"/>
      <c r="AJ18" s="5"/>
      <c r="AK18" s="77"/>
      <c r="AL18" s="78"/>
      <c r="AM18" s="79"/>
      <c r="AN18" s="68"/>
      <c r="AO18" s="69"/>
      <c r="AP18" s="70"/>
      <c r="AQ18" s="90"/>
      <c r="AR18" s="91"/>
      <c r="AS18" s="80"/>
      <c r="AT18" s="81"/>
      <c r="AU18" s="92"/>
      <c r="AV18" s="102"/>
      <c r="AW18" s="82"/>
      <c r="AX18" s="5"/>
      <c r="AY18" s="83"/>
      <c r="AZ18" s="84"/>
      <c r="BA18" s="8"/>
      <c r="BB18" s="5"/>
      <c r="BC18" s="61"/>
      <c r="BD18" s="105"/>
      <c r="BE18" s="107"/>
      <c r="BF18" s="63"/>
      <c r="BG18" s="64"/>
      <c r="BH18" s="104"/>
      <c r="BI18" s="108"/>
      <c r="BJ18" s="82"/>
      <c r="BK18" s="85"/>
      <c r="BL18" s="83"/>
      <c r="BM18" s="86"/>
      <c r="BN18" s="11"/>
    </row>
    <row r="19" spans="1:66" ht="69" customHeight="1">
      <c r="E19" s="58">
        <v>4.3</v>
      </c>
      <c r="F19" s="59" t="s">
        <v>111</v>
      </c>
      <c r="G19" s="7">
        <v>46119</v>
      </c>
      <c r="H19" s="7">
        <v>46125</v>
      </c>
      <c r="I19" s="45">
        <f t="shared" si="2"/>
        <v>5</v>
      </c>
      <c r="J19" s="45" t="s">
        <v>19</v>
      </c>
      <c r="K19" s="46">
        <v>5</v>
      </c>
      <c r="M19" s="55" t="s">
        <v>92</v>
      </c>
      <c r="N19" s="5"/>
      <c r="O19" s="60"/>
      <c r="P19" s="5"/>
      <c r="Q19" s="62"/>
      <c r="R19" s="5"/>
      <c r="S19" s="63"/>
      <c r="T19" s="64"/>
      <c r="U19" s="65"/>
      <c r="V19" s="5"/>
      <c r="W19" s="5"/>
      <c r="X19" s="64"/>
      <c r="Y19" s="66"/>
      <c r="Z19" s="67"/>
      <c r="AA19" s="68"/>
      <c r="AB19" s="69"/>
      <c r="AC19" s="70"/>
      <c r="AD19" s="71"/>
      <c r="AE19" s="72"/>
      <c r="AF19" s="73"/>
      <c r="AG19" s="74"/>
      <c r="AH19" s="75"/>
      <c r="AI19" s="76"/>
      <c r="AJ19" s="5"/>
      <c r="AK19" s="77"/>
      <c r="AL19" s="78"/>
      <c r="AM19" s="79"/>
      <c r="AN19" s="68"/>
      <c r="AO19" s="69"/>
      <c r="AP19" s="70"/>
      <c r="AQ19" s="90"/>
      <c r="AR19" s="91"/>
      <c r="AS19" s="80"/>
      <c r="AT19" s="81"/>
      <c r="AU19" s="92"/>
      <c r="AV19" s="102"/>
      <c r="AW19" s="82"/>
      <c r="AX19" s="5"/>
      <c r="AY19" s="83"/>
      <c r="AZ19" s="84"/>
      <c r="BA19" s="8"/>
      <c r="BB19" s="5"/>
      <c r="BC19" s="61"/>
      <c r="BD19" s="105"/>
      <c r="BE19" s="107"/>
      <c r="BF19" s="63"/>
      <c r="BG19" s="64"/>
      <c r="BH19" s="104"/>
      <c r="BI19" s="108"/>
      <c r="BJ19" s="82"/>
      <c r="BK19" s="85"/>
      <c r="BL19" s="83"/>
      <c r="BM19" s="86"/>
      <c r="BN19" s="11"/>
    </row>
    <row r="20" spans="1:66" ht="69" customHeight="1">
      <c r="E20" s="58">
        <v>4.4000000000000004</v>
      </c>
      <c r="F20" s="59" t="s">
        <v>112</v>
      </c>
      <c r="G20" s="7">
        <v>46119</v>
      </c>
      <c r="H20" s="7">
        <v>46125</v>
      </c>
      <c r="I20" s="45">
        <f>NETWORKDAYS(G20,H20)</f>
        <v>5</v>
      </c>
      <c r="J20" s="45" t="s">
        <v>19</v>
      </c>
      <c r="K20" s="46">
        <v>5</v>
      </c>
      <c r="M20" s="55" t="s">
        <v>92</v>
      </c>
      <c r="N20" s="5"/>
      <c r="O20" s="60"/>
      <c r="P20" s="5"/>
      <c r="Q20" s="62"/>
      <c r="R20" s="5"/>
      <c r="S20" s="63"/>
      <c r="T20" s="64"/>
      <c r="U20" s="65"/>
      <c r="V20" s="5"/>
      <c r="W20" s="5"/>
      <c r="X20" s="64"/>
      <c r="Y20" s="66"/>
      <c r="Z20" s="67"/>
      <c r="AA20" s="68"/>
      <c r="AB20" s="69"/>
      <c r="AC20" s="70"/>
      <c r="AD20" s="71"/>
      <c r="AE20" s="72"/>
      <c r="AF20" s="73"/>
      <c r="AG20" s="74"/>
      <c r="AH20" s="75"/>
      <c r="AI20" s="76"/>
      <c r="AJ20" s="5"/>
      <c r="AK20" s="77"/>
      <c r="AL20" s="78"/>
      <c r="AM20" s="79"/>
      <c r="AN20" s="68"/>
      <c r="AO20" s="69"/>
      <c r="AP20" s="70"/>
      <c r="AQ20" s="90"/>
      <c r="AR20" s="91"/>
      <c r="AS20" s="80"/>
      <c r="AT20" s="81"/>
      <c r="AU20" s="92"/>
      <c r="AV20" s="102"/>
      <c r="AW20" s="82"/>
      <c r="AX20" s="5"/>
      <c r="AY20" s="83"/>
      <c r="AZ20" s="84"/>
      <c r="BA20" s="8"/>
      <c r="BB20" s="5"/>
      <c r="BC20" s="61"/>
      <c r="BD20" s="105"/>
      <c r="BE20" s="107"/>
      <c r="BF20" s="63"/>
      <c r="BG20" s="64"/>
      <c r="BH20" s="104"/>
      <c r="BI20" s="108"/>
      <c r="BJ20" s="82"/>
      <c r="BK20" s="85"/>
      <c r="BL20" s="83"/>
      <c r="BM20" s="86"/>
      <c r="BN20" s="11"/>
    </row>
    <row r="21" spans="1:66" ht="15.5" customHeight="1">
      <c r="A21" s="2"/>
      <c r="B21" s="26"/>
      <c r="C21" s="38">
        <v>5</v>
      </c>
      <c r="D21" s="27" t="s">
        <v>120</v>
      </c>
      <c r="E21" s="39"/>
      <c r="F21" s="26"/>
      <c r="G21" s="28">
        <v>46121</v>
      </c>
      <c r="H21" s="28">
        <v>46121</v>
      </c>
      <c r="I21" s="53">
        <f>NETWORKDAYS(G21,H21)</f>
        <v>1</v>
      </c>
      <c r="J21" s="48"/>
      <c r="K21" s="54"/>
      <c r="L21" s="56"/>
      <c r="M21" s="56"/>
      <c r="N21" s="5">
        <v>44564</v>
      </c>
      <c r="O21" s="60">
        <v>44572</v>
      </c>
      <c r="P21" s="5">
        <v>44579</v>
      </c>
      <c r="Q21" s="62">
        <v>44586</v>
      </c>
      <c r="R21" s="5">
        <v>44593</v>
      </c>
      <c r="S21" s="63">
        <v>44600</v>
      </c>
      <c r="T21" s="64">
        <v>44607</v>
      </c>
      <c r="U21" s="65">
        <v>44614</v>
      </c>
      <c r="V21" s="5">
        <v>44621</v>
      </c>
      <c r="W21" s="5">
        <v>44628</v>
      </c>
      <c r="X21" s="64">
        <v>44635</v>
      </c>
      <c r="Y21" s="66">
        <v>44642</v>
      </c>
      <c r="Z21" s="67">
        <v>44649</v>
      </c>
      <c r="AA21" s="68">
        <v>44656</v>
      </c>
      <c r="AB21" s="69">
        <v>44663</v>
      </c>
      <c r="AC21" s="70">
        <v>44670</v>
      </c>
      <c r="AD21" s="71">
        <v>44677</v>
      </c>
      <c r="AE21" s="72">
        <v>44684</v>
      </c>
      <c r="AF21" s="73">
        <v>44691</v>
      </c>
      <c r="AG21" s="74">
        <v>44698</v>
      </c>
      <c r="AH21" s="75">
        <v>44705</v>
      </c>
      <c r="AI21" s="76">
        <v>44712</v>
      </c>
      <c r="AJ21" s="5">
        <v>44719</v>
      </c>
      <c r="AK21" s="77">
        <v>44726</v>
      </c>
      <c r="AL21" s="78">
        <v>44733</v>
      </c>
      <c r="AM21" s="79">
        <v>44740</v>
      </c>
      <c r="AN21" s="68">
        <v>44747</v>
      </c>
      <c r="AO21" s="69">
        <v>44754</v>
      </c>
      <c r="AP21" s="70">
        <v>44761</v>
      </c>
      <c r="AQ21" s="90">
        <v>44768</v>
      </c>
      <c r="AR21" s="91">
        <v>44775</v>
      </c>
      <c r="AS21" s="80">
        <v>44782</v>
      </c>
      <c r="AT21" s="81">
        <v>44789</v>
      </c>
      <c r="AU21" s="92">
        <v>44796</v>
      </c>
      <c r="AV21" s="102">
        <v>44803</v>
      </c>
      <c r="AW21" s="82">
        <v>44810</v>
      </c>
      <c r="AX21" s="5">
        <v>44817</v>
      </c>
      <c r="AY21" s="83">
        <v>44824</v>
      </c>
      <c r="AZ21" s="84">
        <v>44831</v>
      </c>
      <c r="BA21" s="8">
        <v>44838</v>
      </c>
      <c r="BB21" s="5">
        <v>44845</v>
      </c>
      <c r="BC21" s="61">
        <v>44852</v>
      </c>
      <c r="BD21" s="105">
        <v>44859</v>
      </c>
      <c r="BE21" s="107">
        <v>44866</v>
      </c>
      <c r="BF21" s="63">
        <v>44873</v>
      </c>
      <c r="BG21" s="64">
        <v>44880</v>
      </c>
      <c r="BH21" s="104">
        <v>44887</v>
      </c>
      <c r="BI21" s="108">
        <v>44894</v>
      </c>
      <c r="BJ21" s="82">
        <v>44901</v>
      </c>
      <c r="BK21" s="85">
        <v>44908</v>
      </c>
      <c r="BL21" s="83">
        <v>44915</v>
      </c>
      <c r="BM21" s="86">
        <v>44922</v>
      </c>
      <c r="BN21" s="11"/>
    </row>
    <row r="22" spans="1:66" ht="69" customHeight="1">
      <c r="E22" s="58">
        <v>5.2</v>
      </c>
      <c r="F22" s="59" t="s">
        <v>101</v>
      </c>
      <c r="G22" s="7">
        <v>46122</v>
      </c>
      <c r="H22" s="7">
        <v>46123</v>
      </c>
      <c r="I22" s="45">
        <v>2</v>
      </c>
      <c r="J22" s="45" t="s">
        <v>103</v>
      </c>
      <c r="K22" s="46">
        <v>3</v>
      </c>
      <c r="L22" s="4" t="s">
        <v>18</v>
      </c>
      <c r="M22" s="55" t="s">
        <v>107</v>
      </c>
      <c r="N22" s="5"/>
      <c r="O22" s="60"/>
      <c r="P22" s="5"/>
      <c r="Q22" s="62"/>
      <c r="R22" s="5"/>
      <c r="S22" s="63"/>
      <c r="T22" s="64"/>
      <c r="U22" s="65"/>
      <c r="V22" s="5"/>
      <c r="W22" s="5"/>
      <c r="X22" s="64"/>
      <c r="Y22" s="66"/>
      <c r="Z22" s="67"/>
      <c r="AA22" s="68"/>
      <c r="AB22" s="69"/>
      <c r="AC22" s="70"/>
      <c r="AD22" s="71"/>
      <c r="AE22" s="72"/>
      <c r="AF22" s="73"/>
      <c r="AG22" s="74"/>
      <c r="AH22" s="75"/>
      <c r="AI22" s="76"/>
      <c r="AJ22" s="5"/>
      <c r="AK22" s="77"/>
      <c r="AL22" s="78"/>
      <c r="AM22" s="79"/>
      <c r="AN22" s="68"/>
      <c r="AO22" s="69"/>
      <c r="AP22" s="70"/>
      <c r="AQ22" s="90"/>
      <c r="AR22" s="91"/>
      <c r="AS22" s="80"/>
      <c r="AT22" s="81"/>
      <c r="AU22" s="92"/>
      <c r="AV22" s="102"/>
      <c r="AW22" s="82"/>
      <c r="AX22" s="5"/>
      <c r="AY22" s="83"/>
      <c r="AZ22" s="84"/>
      <c r="BA22" s="8"/>
      <c r="BB22" s="5"/>
      <c r="BC22" s="61"/>
      <c r="BD22" s="105"/>
      <c r="BE22" s="107"/>
      <c r="BF22" s="63"/>
      <c r="BG22" s="64"/>
      <c r="BH22" s="104"/>
      <c r="BI22" s="108"/>
      <c r="BJ22" s="82"/>
      <c r="BK22" s="85"/>
      <c r="BL22" s="83"/>
      <c r="BM22" s="86"/>
      <c r="BN22" s="11"/>
    </row>
    <row r="23" spans="1:66" ht="69" customHeight="1">
      <c r="E23" s="58">
        <v>5.0999999999999996</v>
      </c>
      <c r="F23" s="59" t="s">
        <v>4</v>
      </c>
      <c r="G23" s="7">
        <v>46122</v>
      </c>
      <c r="H23" s="7">
        <v>46126</v>
      </c>
      <c r="I23" s="45">
        <v>5</v>
      </c>
      <c r="J23" s="47" t="s">
        <v>19</v>
      </c>
      <c r="K23" s="46">
        <v>5</v>
      </c>
      <c r="L23" s="4" t="s">
        <v>17</v>
      </c>
      <c r="M23" s="55" t="s">
        <v>122</v>
      </c>
      <c r="N23" s="5"/>
      <c r="O23" s="60"/>
      <c r="P23" s="5"/>
      <c r="Q23" s="62"/>
      <c r="R23" s="5"/>
      <c r="S23" s="63"/>
      <c r="T23" s="64"/>
      <c r="U23" s="65"/>
      <c r="V23" s="5"/>
      <c r="W23" s="5"/>
      <c r="X23" s="64"/>
      <c r="Y23" s="66"/>
      <c r="Z23" s="67"/>
      <c r="AA23" s="68"/>
      <c r="AB23" s="69"/>
      <c r="AC23" s="70"/>
      <c r="AD23" s="71"/>
      <c r="AE23" s="72"/>
      <c r="AF23" s="73"/>
      <c r="AG23" s="74"/>
      <c r="AH23" s="75"/>
      <c r="AI23" s="76"/>
      <c r="AJ23" s="5"/>
      <c r="AK23" s="77"/>
      <c r="AL23" s="78"/>
      <c r="AM23" s="79"/>
      <c r="AN23" s="68"/>
      <c r="AO23" s="69"/>
      <c r="AP23" s="70"/>
      <c r="AQ23" s="90"/>
      <c r="AR23" s="91"/>
      <c r="AS23" s="80"/>
      <c r="AT23" s="81"/>
      <c r="AU23" s="92"/>
      <c r="AV23" s="102"/>
      <c r="AW23" s="82"/>
      <c r="AX23" s="5"/>
      <c r="AY23" s="83"/>
      <c r="AZ23" s="84"/>
      <c r="BA23" s="8"/>
      <c r="BB23" s="5"/>
      <c r="BC23" s="61"/>
      <c r="BD23" s="105"/>
      <c r="BE23" s="107"/>
      <c r="BF23" s="63"/>
      <c r="BG23" s="64"/>
      <c r="BH23" s="104"/>
      <c r="BI23" s="108"/>
      <c r="BJ23" s="82"/>
      <c r="BK23" s="85"/>
      <c r="BL23" s="83"/>
      <c r="BM23" s="86"/>
      <c r="BN23" s="11"/>
    </row>
    <row r="24" spans="1:66" ht="69" customHeight="1">
      <c r="E24" s="58">
        <v>5.2</v>
      </c>
      <c r="F24" s="116" t="s">
        <v>119</v>
      </c>
      <c r="G24" s="7">
        <v>46122</v>
      </c>
      <c r="H24" s="7">
        <v>46126</v>
      </c>
      <c r="I24" s="45">
        <v>5</v>
      </c>
      <c r="J24" s="47" t="s">
        <v>19</v>
      </c>
      <c r="K24" s="46">
        <v>3</v>
      </c>
      <c r="L24" s="4" t="s">
        <v>104</v>
      </c>
      <c r="M24" s="55" t="s">
        <v>122</v>
      </c>
      <c r="N24" s="5"/>
      <c r="O24" s="60"/>
      <c r="P24" s="5"/>
      <c r="Q24" s="62"/>
      <c r="R24" s="5"/>
      <c r="S24" s="63"/>
      <c r="T24" s="64"/>
      <c r="U24" s="65"/>
      <c r="V24" s="5"/>
      <c r="W24" s="5"/>
      <c r="X24" s="64"/>
      <c r="Y24" s="66"/>
      <c r="Z24" s="67"/>
      <c r="AA24" s="68"/>
      <c r="AB24" s="69"/>
      <c r="AC24" s="70"/>
      <c r="AD24" s="71"/>
      <c r="AE24" s="72"/>
      <c r="AF24" s="73"/>
      <c r="AG24" s="74"/>
      <c r="AH24" s="75"/>
      <c r="AI24" s="76"/>
      <c r="AJ24" s="5"/>
      <c r="AK24" s="77"/>
      <c r="AL24" s="78"/>
      <c r="AM24" s="79"/>
      <c r="AN24" s="68"/>
      <c r="AO24" s="69"/>
      <c r="AP24" s="70"/>
      <c r="AQ24" s="90"/>
      <c r="AR24" s="91"/>
      <c r="AS24" s="80"/>
      <c r="AT24" s="81"/>
      <c r="AU24" s="92"/>
      <c r="AV24" s="102"/>
      <c r="AW24" s="82"/>
      <c r="AX24" s="5"/>
      <c r="AY24" s="83"/>
      <c r="AZ24" s="84"/>
      <c r="BA24" s="8"/>
      <c r="BB24" s="5"/>
      <c r="BC24" s="61"/>
      <c r="BD24" s="105"/>
      <c r="BE24" s="107"/>
      <c r="BF24" s="63"/>
      <c r="BG24" s="64"/>
      <c r="BH24" s="104"/>
      <c r="BI24" s="108"/>
      <c r="BJ24" s="82"/>
      <c r="BK24" s="85"/>
      <c r="BL24" s="83"/>
      <c r="BM24" s="86"/>
      <c r="BN24" s="11"/>
    </row>
    <row r="25" spans="1:66" ht="69" customHeight="1">
      <c r="E25" s="58">
        <v>5.3</v>
      </c>
      <c r="F25" s="116" t="s">
        <v>108</v>
      </c>
      <c r="G25" s="7">
        <v>46124</v>
      </c>
      <c r="H25" s="7">
        <v>46126</v>
      </c>
      <c r="I25" s="45">
        <v>3</v>
      </c>
      <c r="J25" s="47" t="s">
        <v>19</v>
      </c>
      <c r="K25" s="46">
        <v>4</v>
      </c>
      <c r="M25" s="55" t="s">
        <v>107</v>
      </c>
      <c r="N25" s="5"/>
      <c r="O25" s="60"/>
      <c r="P25" s="5"/>
      <c r="Q25" s="62"/>
      <c r="R25" s="5"/>
      <c r="S25" s="63"/>
      <c r="T25" s="64"/>
      <c r="U25" s="65"/>
      <c r="V25" s="5"/>
      <c r="W25" s="5"/>
      <c r="X25" s="64"/>
      <c r="Y25" s="66"/>
      <c r="Z25" s="67"/>
      <c r="AA25" s="68"/>
      <c r="AB25" s="69"/>
      <c r="AC25" s="70"/>
      <c r="AD25" s="71"/>
      <c r="AE25" s="72"/>
      <c r="AF25" s="73"/>
      <c r="AG25" s="74"/>
      <c r="AH25" s="75"/>
      <c r="AI25" s="76"/>
      <c r="AJ25" s="5"/>
      <c r="AK25" s="77"/>
      <c r="AL25" s="78"/>
      <c r="AM25" s="79"/>
      <c r="AN25" s="68"/>
      <c r="AO25" s="69"/>
      <c r="AP25" s="70"/>
      <c r="AQ25" s="90"/>
      <c r="AR25" s="91"/>
      <c r="AS25" s="80"/>
      <c r="AT25" s="81"/>
      <c r="AU25" s="92"/>
      <c r="AV25" s="102"/>
      <c r="AW25" s="82"/>
      <c r="AX25" s="5"/>
      <c r="AY25" s="83"/>
      <c r="AZ25" s="84"/>
      <c r="BA25" s="8"/>
      <c r="BB25" s="5"/>
      <c r="BC25" s="61"/>
      <c r="BD25" s="105"/>
      <c r="BE25" s="107"/>
      <c r="BF25" s="63"/>
      <c r="BG25" s="64"/>
      <c r="BH25" s="104"/>
      <c r="BI25" s="108"/>
      <c r="BJ25" s="82"/>
      <c r="BK25" s="85"/>
      <c r="BL25" s="83"/>
      <c r="BM25" s="86"/>
      <c r="BN25" s="11"/>
    </row>
    <row r="26" spans="1:66" ht="84" customHeight="1">
      <c r="E26" s="58">
        <v>5.4</v>
      </c>
      <c r="F26" s="116" t="s">
        <v>23</v>
      </c>
      <c r="G26" s="7">
        <v>46127</v>
      </c>
      <c r="H26" s="7">
        <v>46128</v>
      </c>
      <c r="I26" s="45">
        <v>2</v>
      </c>
      <c r="J26" s="47" t="s">
        <v>19</v>
      </c>
      <c r="K26" s="46">
        <v>5</v>
      </c>
      <c r="M26" s="55" t="s">
        <v>122</v>
      </c>
      <c r="N26" s="5"/>
      <c r="O26" s="60"/>
      <c r="P26" s="61"/>
      <c r="Q26" s="62"/>
      <c r="R26" s="5"/>
      <c r="S26" s="63"/>
      <c r="T26" s="64"/>
      <c r="U26" s="65"/>
      <c r="V26" s="5"/>
      <c r="W26" s="63"/>
      <c r="X26" s="64"/>
      <c r="Y26" s="66"/>
      <c r="Z26" s="67"/>
      <c r="AA26" s="68"/>
      <c r="AB26" s="69"/>
      <c r="AC26" s="70"/>
      <c r="AD26" s="71"/>
      <c r="AE26" s="72"/>
      <c r="AF26" s="73"/>
      <c r="AG26" s="74"/>
      <c r="AH26" s="75"/>
      <c r="AI26" s="76"/>
      <c r="AJ26" s="5"/>
      <c r="AK26" s="77"/>
      <c r="AL26" s="78"/>
      <c r="AM26" s="79"/>
      <c r="AN26" s="68"/>
      <c r="AO26" s="69"/>
      <c r="AP26" s="70"/>
      <c r="AQ26" s="90"/>
      <c r="AR26" s="91"/>
      <c r="AS26" s="80"/>
      <c r="AT26" s="81"/>
      <c r="AU26" s="92"/>
      <c r="AV26" s="102"/>
      <c r="AW26" s="82"/>
      <c r="AX26" s="5"/>
      <c r="AY26" s="83"/>
      <c r="AZ26" s="84"/>
      <c r="BA26" s="8"/>
      <c r="BB26" s="5"/>
      <c r="BC26" s="61"/>
      <c r="BD26" s="105"/>
      <c r="BE26" s="107"/>
      <c r="BF26" s="63"/>
      <c r="BG26" s="64"/>
      <c r="BH26" s="104"/>
      <c r="BI26" s="108"/>
      <c r="BJ26" s="82"/>
      <c r="BK26" s="85"/>
      <c r="BL26" s="83"/>
      <c r="BM26" s="86"/>
      <c r="BN26" s="11"/>
    </row>
    <row r="27" spans="1:66" ht="84" customHeight="1">
      <c r="E27" s="58">
        <v>5.5</v>
      </c>
      <c r="F27" s="116" t="s">
        <v>6</v>
      </c>
      <c r="G27" s="7">
        <v>46127</v>
      </c>
      <c r="H27" s="7">
        <v>46131</v>
      </c>
      <c r="I27" s="45">
        <v>5</v>
      </c>
      <c r="J27" s="47" t="s">
        <v>19</v>
      </c>
      <c r="K27" s="46">
        <v>5</v>
      </c>
      <c r="L27" s="4" t="s">
        <v>16</v>
      </c>
      <c r="M27" s="55" t="s">
        <v>122</v>
      </c>
      <c r="N27" s="5"/>
      <c r="O27" s="60"/>
      <c r="P27" s="61"/>
      <c r="Q27" s="62"/>
      <c r="R27" s="5"/>
      <c r="S27" s="63"/>
      <c r="T27" s="64"/>
      <c r="U27" s="65"/>
      <c r="V27" s="5"/>
      <c r="W27" s="63"/>
      <c r="X27" s="64"/>
      <c r="Y27" s="66"/>
      <c r="Z27" s="67"/>
      <c r="AA27" s="68"/>
      <c r="AB27" s="69"/>
      <c r="AC27" s="70"/>
      <c r="AD27" s="71"/>
      <c r="AE27" s="72"/>
      <c r="AF27" s="73"/>
      <c r="AG27" s="74"/>
      <c r="AH27" s="75"/>
      <c r="AI27" s="76"/>
      <c r="AJ27" s="5"/>
      <c r="AK27" s="77"/>
      <c r="AL27" s="78"/>
      <c r="AM27" s="79"/>
      <c r="AN27" s="68"/>
      <c r="AO27" s="69"/>
      <c r="AP27" s="70"/>
      <c r="AQ27" s="90"/>
      <c r="AR27" s="91"/>
      <c r="AS27" s="80"/>
      <c r="AT27" s="81"/>
      <c r="AU27" s="92"/>
      <c r="AV27" s="102"/>
      <c r="AW27" s="82"/>
      <c r="AX27" s="5"/>
      <c r="AY27" s="83"/>
      <c r="AZ27" s="84"/>
      <c r="BA27" s="8"/>
      <c r="BB27" s="5"/>
      <c r="BC27" s="61"/>
      <c r="BD27" s="105"/>
      <c r="BE27" s="107"/>
      <c r="BF27" s="63"/>
      <c r="BG27" s="64"/>
      <c r="BH27" s="104"/>
      <c r="BI27" s="108"/>
      <c r="BJ27" s="82"/>
      <c r="BK27" s="85"/>
      <c r="BL27" s="83"/>
      <c r="BM27" s="86"/>
      <c r="BN27" s="11"/>
    </row>
    <row r="28" spans="1:66" ht="63" customHeight="1">
      <c r="A28" s="2"/>
      <c r="B28" s="34"/>
      <c r="C28" s="40"/>
      <c r="D28" s="35"/>
      <c r="E28" s="58">
        <v>5.6</v>
      </c>
      <c r="F28" s="116" t="s">
        <v>121</v>
      </c>
      <c r="G28" s="7">
        <v>46127</v>
      </c>
      <c r="H28" s="7">
        <v>46131</v>
      </c>
      <c r="I28" s="50">
        <v>5</v>
      </c>
      <c r="J28" s="47" t="s">
        <v>19</v>
      </c>
      <c r="K28" s="51">
        <v>5</v>
      </c>
      <c r="L28" s="55" t="s">
        <v>118</v>
      </c>
      <c r="M28" s="55" t="s">
        <v>107</v>
      </c>
      <c r="N28" s="5"/>
      <c r="O28" s="60"/>
      <c r="P28" s="61"/>
      <c r="Q28" s="62"/>
      <c r="R28" s="5"/>
      <c r="S28" s="63"/>
      <c r="T28" s="64"/>
      <c r="U28" s="65"/>
      <c r="V28" s="5"/>
      <c r="W28" s="63"/>
      <c r="X28" s="64"/>
      <c r="Y28" s="66"/>
      <c r="Z28" s="67"/>
      <c r="AA28" s="68"/>
      <c r="AB28" s="69"/>
      <c r="AC28" s="70"/>
      <c r="AD28" s="71"/>
      <c r="AE28" s="72"/>
      <c r="AF28" s="73"/>
      <c r="AG28" s="74"/>
      <c r="AH28" s="75"/>
      <c r="AI28" s="76"/>
      <c r="AJ28" s="5"/>
      <c r="AK28" s="77"/>
      <c r="AL28" s="78"/>
      <c r="AM28" s="79"/>
      <c r="AN28" s="68"/>
      <c r="AO28" s="69"/>
      <c r="AP28" s="70"/>
      <c r="AQ28" s="90"/>
      <c r="AR28" s="91"/>
      <c r="AS28" s="80"/>
      <c r="AT28" s="81"/>
      <c r="AU28" s="92"/>
      <c r="AV28" s="102"/>
      <c r="AW28" s="82"/>
      <c r="AX28" s="5"/>
      <c r="AY28" s="83"/>
      <c r="AZ28" s="84"/>
      <c r="BA28" s="8"/>
      <c r="BB28" s="5"/>
      <c r="BC28" s="61"/>
      <c r="BD28" s="105"/>
      <c r="BE28" s="107"/>
      <c r="BF28" s="63"/>
      <c r="BG28" s="64"/>
      <c r="BH28" s="104"/>
      <c r="BI28" s="108"/>
      <c r="BJ28" s="82"/>
      <c r="BK28" s="85"/>
      <c r="BL28" s="83"/>
      <c r="BM28" s="86"/>
      <c r="BN28" s="11"/>
    </row>
    <row r="29" spans="1:66" ht="15.5" customHeight="1">
      <c r="A29" s="2"/>
      <c r="B29" s="26"/>
      <c r="C29" s="38"/>
      <c r="D29" s="27"/>
      <c r="E29" s="39"/>
      <c r="F29" s="26"/>
      <c r="G29" s="52"/>
      <c r="H29" s="52"/>
      <c r="I29" s="53"/>
      <c r="J29" s="48"/>
      <c r="K29" s="54"/>
      <c r="L29" s="56"/>
      <c r="M29" s="56"/>
      <c r="N29" s="5"/>
      <c r="O29" s="60"/>
      <c r="P29" s="61"/>
      <c r="Q29" s="62"/>
      <c r="R29" s="5"/>
      <c r="S29" s="63"/>
      <c r="T29" s="64"/>
      <c r="U29" s="65"/>
      <c r="V29" s="5"/>
      <c r="W29" s="63"/>
      <c r="X29" s="64"/>
      <c r="Y29" s="66"/>
      <c r="Z29" s="67"/>
      <c r="AA29" s="68"/>
      <c r="AB29" s="69"/>
      <c r="AC29" s="70"/>
      <c r="AD29" s="71"/>
      <c r="AE29" s="72"/>
      <c r="AF29" s="73"/>
      <c r="AG29" s="74"/>
      <c r="AH29" s="75"/>
      <c r="AI29" s="76"/>
      <c r="AJ29" s="5"/>
      <c r="AK29" s="77"/>
      <c r="AL29" s="78"/>
      <c r="AM29" s="79"/>
      <c r="AN29" s="68"/>
      <c r="AO29" s="69"/>
      <c r="AP29" s="70"/>
      <c r="AQ29" s="90"/>
      <c r="AR29" s="91"/>
      <c r="AS29" s="80"/>
      <c r="AT29" s="81"/>
      <c r="AU29" s="92"/>
      <c r="AV29" s="102"/>
      <c r="AW29" s="82"/>
      <c r="AX29" s="5"/>
      <c r="AY29" s="83"/>
      <c r="AZ29" s="84"/>
      <c r="BA29" s="8"/>
      <c r="BB29" s="5"/>
      <c r="BC29" s="61"/>
      <c r="BD29" s="105"/>
      <c r="BE29" s="107"/>
      <c r="BF29" s="63"/>
      <c r="BG29" s="64"/>
      <c r="BH29" s="104"/>
      <c r="BI29" s="108"/>
      <c r="BJ29" s="82"/>
      <c r="BK29" s="85"/>
      <c r="BL29" s="83"/>
      <c r="BM29" s="86"/>
      <c r="BN29" s="11"/>
    </row>
    <row r="30" spans="1:66" ht="25.25" customHeight="1">
      <c r="A30" s="2"/>
      <c r="B30" s="34"/>
      <c r="C30" s="40"/>
      <c r="D30" s="35"/>
      <c r="E30" s="40"/>
      <c r="F30" s="57"/>
      <c r="G30" s="7"/>
      <c r="H30" s="7"/>
      <c r="I30" s="50"/>
      <c r="J30" s="49"/>
      <c r="K30" s="51"/>
      <c r="L30" s="55"/>
      <c r="M30" s="55"/>
      <c r="N30" s="5"/>
      <c r="O30" s="60"/>
      <c r="P30" s="61"/>
      <c r="Q30" s="62"/>
      <c r="R30" s="5"/>
      <c r="S30" s="63"/>
      <c r="T30" s="64"/>
      <c r="U30" s="65"/>
      <c r="V30" s="5"/>
      <c r="W30" s="63"/>
      <c r="X30" s="64"/>
      <c r="Y30" s="66"/>
      <c r="Z30" s="67"/>
      <c r="AA30" s="68"/>
      <c r="AB30" s="69"/>
      <c r="AC30" s="70"/>
      <c r="AD30" s="71"/>
      <c r="AE30" s="72"/>
      <c r="AF30" s="73"/>
      <c r="AG30" s="74"/>
      <c r="AH30" s="75"/>
      <c r="AI30" s="76"/>
      <c r="AJ30" s="5"/>
      <c r="AK30" s="77"/>
      <c r="AL30" s="78"/>
      <c r="AM30" s="79"/>
      <c r="AN30" s="68"/>
      <c r="AO30" s="69"/>
      <c r="AP30" s="70"/>
      <c r="AQ30" s="90"/>
      <c r="AR30" s="91"/>
      <c r="AS30" s="80"/>
      <c r="AT30" s="81"/>
      <c r="AU30" s="92"/>
      <c r="AV30" s="102"/>
      <c r="AW30" s="82"/>
      <c r="AX30" s="5"/>
      <c r="AY30" s="83"/>
      <c r="AZ30" s="84"/>
      <c r="BA30" s="8"/>
      <c r="BB30" s="5"/>
      <c r="BC30" s="61"/>
      <c r="BD30" s="105"/>
      <c r="BE30" s="107"/>
      <c r="BF30" s="63"/>
      <c r="BG30" s="64"/>
      <c r="BH30" s="104"/>
      <c r="BI30" s="108"/>
      <c r="BJ30" s="82"/>
      <c r="BK30" s="85"/>
      <c r="BL30" s="83"/>
      <c r="BM30" s="86"/>
      <c r="BN30" s="11"/>
    </row>
    <row r="31" spans="1:66" ht="25.25" customHeight="1">
      <c r="A31" s="2"/>
      <c r="B31" s="34"/>
      <c r="C31" s="40"/>
      <c r="D31" s="35"/>
      <c r="E31" s="40"/>
      <c r="F31" s="57"/>
      <c r="G31" s="7"/>
      <c r="H31" s="7"/>
      <c r="I31" s="50"/>
      <c r="J31" s="47"/>
      <c r="K31" s="51"/>
      <c r="L31" s="55"/>
      <c r="M31" s="55"/>
      <c r="N31" s="5"/>
      <c r="O31" s="60"/>
      <c r="P31" s="61"/>
      <c r="Q31" s="62"/>
      <c r="R31" s="5"/>
      <c r="S31" s="63"/>
      <c r="T31" s="64"/>
      <c r="U31" s="65"/>
      <c r="V31" s="5"/>
      <c r="W31" s="63"/>
      <c r="X31" s="64"/>
      <c r="Y31" s="66"/>
      <c r="Z31" s="67"/>
      <c r="AA31" s="68"/>
      <c r="AB31" s="69"/>
      <c r="AC31" s="70"/>
      <c r="AD31" s="71"/>
      <c r="AE31" s="72"/>
      <c r="AF31" s="73"/>
      <c r="AG31" s="74"/>
      <c r="AH31" s="75"/>
      <c r="AI31" s="76"/>
      <c r="AJ31" s="5"/>
      <c r="AK31" s="77"/>
      <c r="AL31" s="78"/>
      <c r="AM31" s="79"/>
      <c r="AN31" s="68"/>
      <c r="AO31" s="69"/>
      <c r="AP31" s="70"/>
      <c r="AQ31" s="90"/>
      <c r="AR31" s="91"/>
      <c r="AS31" s="80"/>
      <c r="AT31" s="81"/>
      <c r="AU31" s="92"/>
      <c r="AV31" s="102"/>
      <c r="AW31" s="82"/>
      <c r="AX31" s="5"/>
      <c r="AY31" s="83"/>
      <c r="AZ31" s="84"/>
      <c r="BA31" s="8"/>
      <c r="BB31" s="5"/>
      <c r="BC31" s="61"/>
      <c r="BD31" s="105"/>
      <c r="BE31" s="107"/>
      <c r="BF31" s="63"/>
      <c r="BG31" s="64"/>
      <c r="BH31" s="104"/>
      <c r="BI31" s="108"/>
      <c r="BJ31" s="82"/>
      <c r="BK31" s="85"/>
      <c r="BL31" s="83"/>
      <c r="BM31" s="86"/>
      <c r="BN31" s="11"/>
    </row>
    <row r="32" spans="1:66" ht="15.5" customHeight="1">
      <c r="A32" s="2"/>
      <c r="B32" s="26"/>
      <c r="C32" s="38"/>
      <c r="D32" s="27"/>
      <c r="E32" s="39"/>
      <c r="F32" s="26"/>
      <c r="G32" s="52"/>
      <c r="H32" s="52"/>
      <c r="I32" s="53"/>
      <c r="J32" s="48"/>
      <c r="K32" s="54"/>
      <c r="L32" s="56"/>
      <c r="M32" s="56"/>
      <c r="N32" s="5"/>
      <c r="O32" s="60"/>
      <c r="P32" s="61"/>
      <c r="Q32" s="62"/>
      <c r="R32" s="5"/>
      <c r="S32" s="63"/>
      <c r="T32" s="64"/>
      <c r="U32" s="65"/>
      <c r="V32" s="5"/>
      <c r="W32" s="63"/>
      <c r="X32" s="64"/>
      <c r="Y32" s="66"/>
      <c r="Z32" s="67"/>
      <c r="AA32" s="68"/>
      <c r="AB32" s="69"/>
      <c r="AC32" s="70"/>
      <c r="AD32" s="71"/>
      <c r="AE32" s="72"/>
      <c r="AF32" s="73"/>
      <c r="AG32" s="74"/>
      <c r="AH32" s="75"/>
      <c r="AI32" s="76"/>
      <c r="AJ32" s="5"/>
      <c r="AK32" s="77"/>
      <c r="AL32" s="78"/>
      <c r="AM32" s="79"/>
      <c r="AN32" s="68"/>
      <c r="AO32" s="69"/>
      <c r="AP32" s="70"/>
      <c r="AQ32" s="90"/>
      <c r="AR32" s="91"/>
      <c r="AS32" s="80"/>
      <c r="AT32" s="81"/>
      <c r="AU32" s="92"/>
      <c r="AV32" s="102"/>
      <c r="AW32" s="82"/>
      <c r="AX32" s="5"/>
      <c r="AY32" s="83"/>
      <c r="AZ32" s="84"/>
      <c r="BA32" s="8"/>
      <c r="BB32" s="5"/>
      <c r="BC32" s="61"/>
      <c r="BD32" s="105"/>
      <c r="BE32" s="107"/>
      <c r="BF32" s="63"/>
      <c r="BG32" s="64"/>
      <c r="BH32" s="104"/>
      <c r="BI32" s="108"/>
      <c r="BJ32" s="82"/>
      <c r="BK32" s="85"/>
      <c r="BL32" s="83"/>
      <c r="BM32" s="86"/>
      <c r="BN32" s="11"/>
    </row>
    <row r="33" spans="1:66" ht="51.5" customHeight="1">
      <c r="A33" s="2"/>
      <c r="B33" s="34"/>
      <c r="C33" s="40"/>
      <c r="D33" s="35"/>
      <c r="E33" s="40"/>
      <c r="F33" s="36"/>
      <c r="G33" s="7"/>
      <c r="H33" s="7"/>
      <c r="I33" s="50"/>
      <c r="J33" s="49"/>
      <c r="K33" s="51"/>
      <c r="L33" s="55"/>
      <c r="M33" s="55"/>
      <c r="N33" s="5"/>
      <c r="O33" s="60"/>
      <c r="P33" s="61"/>
      <c r="Q33" s="62"/>
      <c r="R33" s="5"/>
      <c r="S33" s="63"/>
      <c r="T33" s="64"/>
      <c r="U33" s="65"/>
      <c r="V33" s="5"/>
      <c r="W33" s="63"/>
      <c r="X33" s="64"/>
      <c r="Y33" s="66"/>
      <c r="Z33" s="67"/>
      <c r="AA33" s="68"/>
      <c r="AB33" s="69"/>
      <c r="AC33" s="70"/>
      <c r="AD33" s="71"/>
      <c r="AE33" s="72"/>
      <c r="AF33" s="73"/>
      <c r="AG33" s="74"/>
      <c r="AH33" s="75"/>
      <c r="AI33" s="76"/>
      <c r="AJ33" s="5"/>
      <c r="AK33" s="77"/>
      <c r="AL33" s="78"/>
      <c r="AM33" s="79"/>
      <c r="AN33" s="68"/>
      <c r="AO33" s="69"/>
      <c r="AP33" s="70"/>
      <c r="AQ33" s="90"/>
      <c r="AR33" s="91"/>
      <c r="AS33" s="80"/>
      <c r="AT33" s="81"/>
      <c r="AU33" s="92"/>
      <c r="AV33" s="102"/>
      <c r="AW33" s="82"/>
      <c r="AX33" s="5"/>
      <c r="AY33" s="83"/>
      <c r="AZ33" s="84"/>
      <c r="BA33" s="8"/>
      <c r="BB33" s="5"/>
      <c r="BC33" s="61"/>
      <c r="BD33" s="105"/>
      <c r="BE33" s="107"/>
      <c r="BF33" s="63"/>
      <c r="BG33" s="64"/>
      <c r="BH33" s="104"/>
      <c r="BI33" s="108"/>
      <c r="BJ33" s="82"/>
      <c r="BK33" s="85"/>
      <c r="BL33" s="83"/>
      <c r="BM33" s="86"/>
      <c r="BN33" s="11"/>
    </row>
    <row r="34" spans="1:66" ht="53.5" customHeight="1">
      <c r="F34" s="59"/>
      <c r="G34" s="7"/>
      <c r="H34" s="7"/>
      <c r="I34" s="50"/>
      <c r="J34" s="49"/>
      <c r="K34" s="51"/>
      <c r="N34" s="5"/>
      <c r="O34" s="60"/>
      <c r="P34" s="61"/>
      <c r="Q34" s="62"/>
      <c r="R34" s="5"/>
      <c r="S34" s="63"/>
      <c r="T34" s="64"/>
      <c r="U34" s="65"/>
      <c r="V34" s="5"/>
      <c r="W34" s="63"/>
      <c r="X34" s="64"/>
      <c r="Y34" s="66"/>
      <c r="Z34" s="67"/>
      <c r="AA34" s="68"/>
      <c r="AB34" s="69"/>
      <c r="AC34" s="70"/>
      <c r="AD34" s="71"/>
      <c r="AE34" s="72"/>
      <c r="AF34" s="73"/>
      <c r="AG34" s="74"/>
      <c r="AH34" s="75"/>
      <c r="AI34" s="76"/>
      <c r="AJ34" s="5"/>
      <c r="AK34" s="77"/>
      <c r="AL34" s="78"/>
      <c r="AM34" s="79"/>
      <c r="AN34" s="68"/>
      <c r="AO34" s="69"/>
      <c r="AP34" s="70"/>
      <c r="AQ34" s="90"/>
      <c r="AR34" s="93"/>
      <c r="AS34" s="94"/>
      <c r="AT34" s="95"/>
      <c r="AU34" s="96"/>
      <c r="AV34" s="103"/>
      <c r="AW34" s="82"/>
      <c r="AX34" s="5"/>
      <c r="AY34" s="83"/>
      <c r="AZ34" s="84"/>
      <c r="BA34" s="8"/>
      <c r="BB34" s="5"/>
      <c r="BC34" s="61"/>
      <c r="BD34" s="105"/>
      <c r="BE34" s="109"/>
      <c r="BF34" s="110"/>
      <c r="BG34" s="111"/>
      <c r="BH34" s="112"/>
      <c r="BI34" s="113"/>
      <c r="BJ34" s="82"/>
      <c r="BK34" s="85"/>
      <c r="BL34" s="83"/>
      <c r="BM34" s="86"/>
      <c r="BN34" s="11"/>
    </row>
    <row r="37" spans="1:66">
      <c r="J37" s="47" t="s">
        <v>103</v>
      </c>
    </row>
    <row r="38" spans="1:66">
      <c r="J38" s="47" t="s">
        <v>110</v>
      </c>
    </row>
    <row r="39" spans="1:66">
      <c r="J39" s="47" t="s">
        <v>19</v>
      </c>
    </row>
  </sheetData>
  <mergeCells count="22">
    <mergeCell ref="K3:K5"/>
    <mergeCell ref="L3:L5"/>
    <mergeCell ref="M3:M5"/>
    <mergeCell ref="AA4:AD4"/>
    <mergeCell ref="AN4:AQ4"/>
    <mergeCell ref="AE4:AI4"/>
    <mergeCell ref="AJ4:AM4"/>
    <mergeCell ref="H1:I1"/>
    <mergeCell ref="B3:B5"/>
    <mergeCell ref="C3:F5"/>
    <mergeCell ref="G3:I4"/>
    <mergeCell ref="J3:J5"/>
    <mergeCell ref="BN3:BN5"/>
    <mergeCell ref="N4:Q4"/>
    <mergeCell ref="R4:U4"/>
    <mergeCell ref="V4:Z4"/>
    <mergeCell ref="N3:BM3"/>
    <mergeCell ref="BA4:BD4"/>
    <mergeCell ref="AW4:AZ4"/>
    <mergeCell ref="AR4:AV4"/>
    <mergeCell ref="BE4:BI4"/>
    <mergeCell ref="BJ4:BM4"/>
  </mergeCells>
  <conditionalFormatting sqref="J7:J16">
    <cfRule type="cellIs" dxfId="21" priority="53" operator="equal">
      <formula>"지연중"</formula>
    </cfRule>
    <cfRule type="cellIs" dxfId="20" priority="55" operator="equal">
      <formula>"완료"</formula>
    </cfRule>
    <cfRule type="cellIs" dxfId="19" priority="54" operator="equal">
      <formula>"진행중"</formula>
    </cfRule>
  </conditionalFormatting>
  <conditionalFormatting sqref="J21:J34">
    <cfRule type="cellIs" dxfId="18" priority="1" operator="equal">
      <formula>"지연중"</formula>
    </cfRule>
    <cfRule type="cellIs" dxfId="17" priority="2" operator="equal">
      <formula>"진행중"</formula>
    </cfRule>
    <cfRule type="cellIs" dxfId="16" priority="3" operator="equal">
      <formula>"완료"</formula>
    </cfRule>
  </conditionalFormatting>
  <conditionalFormatting sqref="J37:J39">
    <cfRule type="cellIs" dxfId="15" priority="9" operator="equal">
      <formula>"완료"</formula>
    </cfRule>
    <cfRule type="cellIs" dxfId="14" priority="8" operator="equal">
      <formula>"진행중"</formula>
    </cfRule>
    <cfRule type="cellIs" dxfId="13" priority="7" operator="equal">
      <formula>"지연중"</formula>
    </cfRule>
  </conditionalFormatting>
  <conditionalFormatting sqref="N6:BM6">
    <cfRule type="cellIs" dxfId="12" priority="302" operator="between">
      <formula>$G6</formula>
      <formula>$H6</formula>
    </cfRule>
  </conditionalFormatting>
  <conditionalFormatting sqref="N7:BM7">
    <cfRule type="cellIs" dxfId="11" priority="303" operator="between">
      <formula>$G7</formula>
      <formula>$H7</formula>
    </cfRule>
  </conditionalFormatting>
  <conditionalFormatting sqref="N8:BM9 N11:BM11">
    <cfRule type="cellIs" dxfId="10" priority="206" operator="between">
      <formula>$G8</formula>
      <formula>$H8</formula>
    </cfRule>
  </conditionalFormatting>
  <conditionalFormatting sqref="N10:BM10">
    <cfRule type="cellIs" dxfId="9" priority="171" operator="between">
      <formula>$G10</formula>
      <formula>$H10</formula>
    </cfRule>
  </conditionalFormatting>
  <conditionalFormatting sqref="N12:BM12">
    <cfRule type="cellIs" dxfId="8" priority="81" operator="between">
      <formula>$G12</formula>
      <formula>$H12</formula>
    </cfRule>
  </conditionalFormatting>
  <conditionalFormatting sqref="N13:BM15">
    <cfRule type="cellIs" dxfId="7" priority="72" operator="between">
      <formula>$G13</formula>
      <formula>$H13</formula>
    </cfRule>
  </conditionalFormatting>
  <conditionalFormatting sqref="N16:BM16">
    <cfRule type="cellIs" dxfId="6" priority="52" operator="between">
      <formula>$G16</formula>
      <formula>$H16</formula>
    </cfRule>
  </conditionalFormatting>
  <conditionalFormatting sqref="N21:BM21">
    <cfRule type="cellIs" dxfId="5" priority="43" operator="between">
      <formula>$G21</formula>
      <formula>$H21</formula>
    </cfRule>
  </conditionalFormatting>
  <conditionalFormatting sqref="N22:BM25">
    <cfRule type="cellIs" dxfId="4" priority="44" operator="between">
      <formula>$G23</formula>
      <formula>$H23</formula>
    </cfRule>
  </conditionalFormatting>
  <conditionalFormatting sqref="N22:BM26 N17:BM20 N28:BM28">
    <cfRule type="cellIs" dxfId="3" priority="122" operator="between">
      <formula>$G17</formula>
      <formula>$H17</formula>
    </cfRule>
  </conditionalFormatting>
  <conditionalFormatting sqref="N23:BM23">
    <cfRule type="cellIs" dxfId="2" priority="63" operator="between">
      <formula>$G24</formula>
      <formula>$H24</formula>
    </cfRule>
  </conditionalFormatting>
  <conditionalFormatting sqref="N28:BM34">
    <cfRule type="cellIs" dxfId="1" priority="304" operator="between">
      <formula>#REF!</formula>
      <formula>#REF!</formula>
    </cfRule>
  </conditionalFormatting>
  <conditionalFormatting sqref="N29:BM30 N32:BM32">
    <cfRule type="cellIs" dxfId="0" priority="123" operator="between">
      <formula>$G29</formula>
      <formula>$H29</formula>
    </cfRule>
  </conditionalFormatting>
  <pageMargins left="0.2361111044883728" right="0.2361111044883728" top="0.74791663885116577" bottom="0.74791663885116577" header="0.31486111879348755" footer="0.31486111879348755"/>
  <pageSetup paperSize="9" scale="71" fitToHeight="0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340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문서변경이력</vt:lpstr>
      <vt:lpstr>자율주행 로봇 개발_WBS</vt:lpstr>
      <vt:lpstr>'자율주행 로봇 개발_WBS'!Print_Area</vt:lpstr>
      <vt:lpstr>'자율주행 로봇 개발_WBS'!Print_Titles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Mando</dc:creator>
  <cp:lastModifiedBy>김현준</cp:lastModifiedBy>
  <cp:revision>4</cp:revision>
  <cp:lastPrinted>2018-11-02T01:24:06Z</cp:lastPrinted>
  <dcterms:created xsi:type="dcterms:W3CDTF">2018-01-12T01:22:38Z</dcterms:created>
  <dcterms:modified xsi:type="dcterms:W3CDTF">2026-04-10T13:56:13Z</dcterms:modified>
  <cp:version>1200.0100.01</cp:version>
</cp:coreProperties>
</file>
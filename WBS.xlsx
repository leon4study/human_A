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04"/>
  <workbookPr/>
  <mc:AlternateContent xmlns:mc="http://schemas.openxmlformats.org/markup-compatibility/2006">
    <mc:Choice Requires="x15">
      <x15ac:absPath xmlns:x15ac="http://schemas.microsoft.com/office/spreadsheetml/2010/11/ac" url="/Users/jun/GitStudy/human_A/"/>
    </mc:Choice>
  </mc:AlternateContent>
  <xr:revisionPtr revIDLastSave="0" documentId="8_{377B396E-0980-2045-800F-0CA703711D5F}" xr6:coauthVersionLast="47" xr6:coauthVersionMax="47" xr10:uidLastSave="{00000000-0000-0000-0000-000000000000}"/>
  <bookViews>
    <workbookView xWindow="0" yWindow="660" windowWidth="29400" windowHeight="17520" activeTab="1" xr2:uid="{00000000-000D-0000-FFFF-FFFF00000000}"/>
  </bookViews>
  <sheets>
    <sheet name="문서변경이력" sheetId="4" r:id="rId1"/>
    <sheet name="자율주행 로봇 개발_WBS" sheetId="6" r:id="rId2"/>
  </sheets>
  <definedNames>
    <definedName name="_xlnm._FilterDatabase" localSheetId="1" hidden="1">'자율주행 로봇 개발_WBS'!$K$1:$K$27</definedName>
    <definedName name="_xlnm.Print_Area" localSheetId="1">'자율주행 로봇 개발_WBS'!$A$1:$BM$5</definedName>
    <definedName name="_xlnm.Print_Titles" localSheetId="1">'자율주행 로봇 개발_WBS'!$3:$5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6" l="1"/>
  <c r="I17" i="6"/>
  <c r="I15" i="6"/>
  <c r="I27" i="6"/>
  <c r="I26" i="6"/>
  <c r="I25" i="6"/>
  <c r="I24" i="6"/>
  <c r="I23" i="6"/>
  <c r="I22" i="6"/>
  <c r="I21" i="6"/>
  <c r="I20" i="6"/>
  <c r="I18" i="6"/>
  <c r="I14" i="6"/>
  <c r="I13" i="6"/>
  <c r="I12" i="6"/>
  <c r="I11" i="6"/>
  <c r="I10" i="6"/>
  <c r="I9" i="6"/>
  <c r="I8" i="6"/>
  <c r="I7" i="6"/>
  <c r="K6" i="6"/>
  <c r="J6" i="6"/>
  <c r="I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dh.choi</author>
  </authors>
  <commentList>
    <comment ref="K3" authorId="0" shapeId="0" xr:uid="{00000000-0006-0000-0100-000001000000}">
      <text>
        <r>
          <rPr>
            <sz val="9"/>
            <color indexed="81"/>
            <rFont val="Tahoma"/>
            <family val="2"/>
          </rPr>
          <t xml:space="preserve">1. </t>
        </r>
        <r>
          <rPr>
            <sz val="9"/>
            <color indexed="81"/>
            <rFont val="돋움"/>
            <family val="3"/>
            <charset val="129"/>
          </rPr>
          <t>가중치의</t>
        </r>
        <r>
          <rPr>
            <sz val="9"/>
            <color indexed="81"/>
            <rFont val="Tahoma"/>
            <family val="2"/>
          </rPr>
          <t xml:space="preserve"> Sum 100
2. </t>
        </r>
        <r>
          <rPr>
            <sz val="9"/>
            <color indexed="81"/>
            <rFont val="돋움"/>
            <family val="3"/>
            <charset val="129"/>
          </rPr>
          <t>항목당</t>
        </r>
        <r>
          <rPr>
            <sz val="9"/>
            <color indexed="81"/>
            <rFont val="Tahoma"/>
            <family val="2"/>
          </rPr>
          <t xml:space="preserve"> 0~10 </t>
        </r>
        <r>
          <rPr>
            <sz val="9"/>
            <color indexed="81"/>
            <rFont val="돋움"/>
            <family val="3"/>
            <charset val="129"/>
          </rPr>
          <t>점수</t>
        </r>
        <r>
          <rPr>
            <sz val="9"/>
            <color indexed="81"/>
            <rFont val="Tahoma"/>
            <family val="2"/>
          </rPr>
          <t xml:space="preserve"> </t>
        </r>
        <r>
          <rPr>
            <sz val="9"/>
            <color indexed="81"/>
            <rFont val="돋움"/>
            <family val="3"/>
            <charset val="129"/>
          </rPr>
          <t>부여</t>
        </r>
        <r>
          <rPr>
            <sz val="9"/>
            <color indexed="81"/>
            <rFont val="Tahoma"/>
            <family val="2"/>
          </rPr>
          <t xml:space="preserve">
</t>
        </r>
      </text>
    </comment>
  </commentList>
</comments>
</file>

<file path=xl/sharedStrings.xml><?xml version="1.0" encoding="utf-8"?>
<sst xmlns="http://schemas.openxmlformats.org/spreadsheetml/2006/main" count="150" uniqueCount="131">
  <si>
    <t>수행 Task</t>
    <phoneticPr fontId="1" type="noConversion"/>
  </si>
  <si>
    <t>W10</t>
  </si>
  <si>
    <t>W11</t>
  </si>
  <si>
    <t>W12</t>
  </si>
  <si>
    <t>W13</t>
  </si>
  <si>
    <t>W14</t>
  </si>
  <si>
    <t>W15</t>
  </si>
  <si>
    <t>W16</t>
  </si>
  <si>
    <t>W17</t>
  </si>
  <si>
    <t>W18</t>
  </si>
  <si>
    <t>W19</t>
  </si>
  <si>
    <t>W20</t>
  </si>
  <si>
    <t>W21</t>
  </si>
  <si>
    <t>W22</t>
  </si>
  <si>
    <t>W23</t>
  </si>
  <si>
    <t>W24</t>
  </si>
  <si>
    <t>W25</t>
  </si>
  <si>
    <t>W26</t>
  </si>
  <si>
    <t>W27</t>
  </si>
  <si>
    <t>W28</t>
  </si>
  <si>
    <t>W29</t>
  </si>
  <si>
    <t>W30</t>
  </si>
  <si>
    <t>W31</t>
  </si>
  <si>
    <t>W32</t>
  </si>
  <si>
    <t>W33</t>
  </si>
  <si>
    <t>W34</t>
  </si>
  <si>
    <t>W35</t>
  </si>
  <si>
    <t>W36</t>
  </si>
  <si>
    <t>W37</t>
  </si>
  <si>
    <t>W38</t>
  </si>
  <si>
    <t>W39</t>
  </si>
  <si>
    <t>W40</t>
  </si>
  <si>
    <t>W41</t>
  </si>
  <si>
    <t>W42</t>
  </si>
  <si>
    <t>W43</t>
  </si>
  <si>
    <t>W44</t>
  </si>
  <si>
    <t>W45</t>
  </si>
  <si>
    <t>W46</t>
  </si>
  <si>
    <t>W47</t>
  </si>
  <si>
    <t>W48</t>
  </si>
  <si>
    <t>W49</t>
  </si>
  <si>
    <t>W50</t>
  </si>
  <si>
    <t>W51</t>
  </si>
  <si>
    <t>W52</t>
  </si>
  <si>
    <t>착수</t>
    <phoneticPr fontId="1" type="noConversion"/>
  </si>
  <si>
    <t>종료</t>
    <phoneticPr fontId="1" type="noConversion"/>
  </si>
  <si>
    <t>추진
과제명</t>
    <phoneticPr fontId="1" type="noConversion"/>
  </si>
  <si>
    <t>■ 변경 이력</t>
    <phoneticPr fontId="1" type="noConversion"/>
  </si>
  <si>
    <t xml:space="preserve">순서 </t>
    <phoneticPr fontId="1" type="noConversion"/>
  </si>
  <si>
    <t>일자</t>
    <phoneticPr fontId="1" type="noConversion"/>
  </si>
  <si>
    <t>수정 내용</t>
    <phoneticPr fontId="1" type="noConversion"/>
  </si>
  <si>
    <t>Task
가중치</t>
    <phoneticPr fontId="1" type="noConversion"/>
  </si>
  <si>
    <t>10월</t>
  </si>
  <si>
    <t>11월</t>
  </si>
  <si>
    <t>2월</t>
    <phoneticPr fontId="1" type="noConversion"/>
  </si>
  <si>
    <t>3월</t>
    <phoneticPr fontId="1" type="noConversion"/>
  </si>
  <si>
    <t>5월</t>
    <phoneticPr fontId="1" type="noConversion"/>
  </si>
  <si>
    <t>8월</t>
  </si>
  <si>
    <t>W01</t>
    <phoneticPr fontId="1" type="noConversion"/>
  </si>
  <si>
    <t>W02</t>
    <phoneticPr fontId="1" type="noConversion"/>
  </si>
  <si>
    <t>W03</t>
  </si>
  <si>
    <t>W04</t>
  </si>
  <si>
    <t>W05</t>
  </si>
  <si>
    <t>W06</t>
  </si>
  <si>
    <t>W07</t>
  </si>
  <si>
    <t>W08</t>
  </si>
  <si>
    <t>W09</t>
  </si>
  <si>
    <t>진행중</t>
    <phoneticPr fontId="1" type="noConversion"/>
  </si>
  <si>
    <t>Status</t>
    <phoneticPr fontId="1" type="noConversion"/>
  </si>
  <si>
    <t>Plan</t>
    <phoneticPr fontId="1" type="noConversion"/>
  </si>
  <si>
    <t>기간
(Day)</t>
    <phoneticPr fontId="1" type="noConversion"/>
  </si>
  <si>
    <t>1월</t>
    <phoneticPr fontId="1" type="noConversion"/>
  </si>
  <si>
    <t>7월</t>
    <phoneticPr fontId="1" type="noConversion"/>
  </si>
  <si>
    <t>4월</t>
    <phoneticPr fontId="1" type="noConversion"/>
  </si>
  <si>
    <t>담당자명</t>
    <phoneticPr fontId="1" type="noConversion"/>
  </si>
  <si>
    <t>비고</t>
    <phoneticPr fontId="1" type="noConversion"/>
  </si>
  <si>
    <t>완료,진행중,지연중,예정</t>
    <phoneticPr fontId="1" type="noConversion"/>
  </si>
  <si>
    <t>예정</t>
    <phoneticPr fontId="1" type="noConversion"/>
  </si>
  <si>
    <t>산출물명</t>
    <phoneticPr fontId="1" type="noConversion"/>
  </si>
  <si>
    <t>6월</t>
    <phoneticPr fontId="1" type="noConversion"/>
  </si>
  <si>
    <t>최현석</t>
    <phoneticPr fontId="1" type="noConversion"/>
  </si>
  <si>
    <t>완료</t>
    <phoneticPr fontId="1" type="noConversion"/>
  </si>
  <si>
    <t>예정</t>
    <phoneticPr fontId="1" type="noConversion"/>
  </si>
  <si>
    <t>최태민/
최인구</t>
    <phoneticPr fontId="1" type="noConversion"/>
  </si>
  <si>
    <t>ALL</t>
    <phoneticPr fontId="1" type="noConversion"/>
  </si>
  <si>
    <t>ALL</t>
    <phoneticPr fontId="1" type="noConversion"/>
  </si>
  <si>
    <t>최현석</t>
    <phoneticPr fontId="1" type="noConversion"/>
  </si>
  <si>
    <r>
      <rPr>
        <b/>
        <sz val="10"/>
        <color theme="1"/>
        <rFont val="Calibri"/>
        <family val="3"/>
        <charset val="129"/>
        <scheme val="minor"/>
      </rPr>
      <t>요구사항 분석</t>
    </r>
    <r>
      <rPr>
        <sz val="10"/>
        <color theme="1"/>
        <rFont val="Calibri"/>
        <family val="3"/>
        <charset val="129"/>
        <scheme val="minor"/>
      </rPr>
      <t xml:space="preserve">
  1) 로봇 하드웨어 특성 분석
  2) 작업환경 및 상용차/보조차량 작업 내용 분석
  3) 로봇 센서 및 구동장치 성능 분석</t>
    </r>
    <phoneticPr fontId="1" type="noConversion"/>
  </si>
  <si>
    <r>
      <rPr>
        <b/>
        <sz val="10"/>
        <color theme="1"/>
        <rFont val="Calibri"/>
        <family val="3"/>
        <charset val="129"/>
        <scheme val="minor"/>
      </rPr>
      <t>시스템 구조 설계</t>
    </r>
    <r>
      <rPr>
        <sz val="10"/>
        <color theme="1"/>
        <rFont val="Calibri"/>
        <family val="3"/>
        <charset val="129"/>
        <scheme val="minor"/>
      </rPr>
      <t xml:space="preserve">
  1) 로봇 시스템 통합 설계  
  2) 로봇 동작 프로세스 설계
  3) 아키텍처 검증 및 오류 분석</t>
    </r>
    <phoneticPr fontId="1" type="noConversion"/>
  </si>
  <si>
    <r>
      <rPr>
        <b/>
        <sz val="10"/>
        <color theme="1"/>
        <rFont val="Calibri"/>
        <family val="3"/>
        <charset val="129"/>
        <scheme val="minor"/>
      </rPr>
      <t>서버 구축 및 작업 환경 이미지/영상 데이터 수집</t>
    </r>
    <r>
      <rPr>
        <sz val="10"/>
        <color theme="1"/>
        <rFont val="Calibri"/>
        <family val="2"/>
        <charset val="129"/>
        <scheme val="minor"/>
      </rPr>
      <t xml:space="preserve">
  1) Storage Server 구축 
  2) 작업 환경 주요 발생 객체 데이터 수집
  3) 도로 환경 데이터 수집</t>
    </r>
    <phoneticPr fontId="1" type="noConversion"/>
  </si>
  <si>
    <r>
      <rPr>
        <b/>
        <sz val="10"/>
        <color theme="1"/>
        <rFont val="Calibri"/>
        <family val="3"/>
        <charset val="129"/>
        <scheme val="minor"/>
      </rPr>
      <t>ROS 프레임워크 개발(back-end)</t>
    </r>
    <r>
      <rPr>
        <sz val="10"/>
        <color theme="1"/>
        <rFont val="Calibri"/>
        <family val="2"/>
        <charset val="129"/>
        <scheme val="minor"/>
      </rPr>
      <t xml:space="preserve">
  1) ROS Master 생성 및 프로세스 기준 정보 표준화
  2) TCPROS/UDPROS 기반 통신 모듈 개발 (내부 통신)
  3) Nodelet API 셋팅
  4) 센서, 액츄에이터, 네트워크 Driver Connection 모듈 개발
  5) 클라이언트 라이브러리 함수 패키지 콜백 처리 모듈 개발 
  6) ROS Launcher 개발
  7) Job Scheduler 개발
  8) SW 모듈화</t>
    </r>
    <phoneticPr fontId="1" type="noConversion"/>
  </si>
  <si>
    <r>
      <rPr>
        <b/>
        <sz val="10"/>
        <color theme="1"/>
        <rFont val="Calibri"/>
        <family val="3"/>
        <charset val="129"/>
        <scheme val="minor"/>
      </rPr>
      <t>로봇 통합 테스트</t>
    </r>
    <r>
      <rPr>
        <sz val="10"/>
        <color theme="1"/>
        <rFont val="Calibri"/>
        <family val="2"/>
        <charset val="129"/>
        <scheme val="minor"/>
      </rPr>
      <t xml:space="preserve">
  1) 성능평가를 위한 테스트베드 환경 구축
  2) 자율주행 시나리오 별 테스트 수행
  3) SW 기능 단위 테스트
  4) 로봇 성능 테스트
  5) 시스템 통합 테스트</t>
    </r>
    <phoneticPr fontId="1" type="noConversion"/>
  </si>
  <si>
    <t>23년 실로봇 적용 계획 수립</t>
    <phoneticPr fontId="1" type="noConversion"/>
  </si>
  <si>
    <t>완료 보고서 작성</t>
    <phoneticPr fontId="1" type="noConversion"/>
  </si>
  <si>
    <r>
      <rPr>
        <b/>
        <sz val="10"/>
        <color theme="1"/>
        <rFont val="Calibri"/>
        <family val="3"/>
        <charset val="129"/>
        <scheme val="minor"/>
      </rPr>
      <t>SW 관리</t>
    </r>
    <r>
      <rPr>
        <sz val="10"/>
        <color theme="1"/>
        <rFont val="Calibri"/>
        <family val="3"/>
        <charset val="129"/>
        <scheme val="minor"/>
      </rPr>
      <t xml:space="preserve">
  1) GIT 형상관리 시스템 구축
  2) 최종 빌드 버전 업로드 및 다운로드</t>
    </r>
    <phoneticPr fontId="1" type="noConversion"/>
  </si>
  <si>
    <r>
      <rPr>
        <b/>
        <sz val="10"/>
        <color theme="1"/>
        <rFont val="Calibri"/>
        <family val="3"/>
        <charset val="129"/>
        <scheme val="minor"/>
      </rPr>
      <t>SW 배포</t>
    </r>
    <r>
      <rPr>
        <sz val="10"/>
        <color theme="1"/>
        <rFont val="Calibri"/>
        <family val="2"/>
        <charset val="129"/>
        <scheme val="minor"/>
      </rPr>
      <t xml:space="preserve">
  1) 22년 git 통한 개별 다운로드 및 빌드 
  2) 23년 클라우드 기반 SW 배포 시스템 구축</t>
    </r>
    <phoneticPr fontId="1" type="noConversion"/>
  </si>
  <si>
    <t>완료 보고서</t>
    <phoneticPr fontId="1" type="noConversion"/>
  </si>
  <si>
    <t>테스트 결과 보고서</t>
    <phoneticPr fontId="1" type="noConversion"/>
  </si>
  <si>
    <r>
      <rPr>
        <b/>
        <sz val="10"/>
        <color theme="1"/>
        <rFont val="Calibri"/>
        <family val="3"/>
        <charset val="129"/>
        <scheme val="minor"/>
      </rPr>
      <t>테스트 및 SW 배포 계획 수립</t>
    </r>
    <r>
      <rPr>
        <sz val="10"/>
        <color theme="1"/>
        <rFont val="Calibri"/>
        <family val="3"/>
        <charset val="129"/>
        <scheme val="minor"/>
      </rPr>
      <t xml:space="preserve">
  1) 성능평가를 위한 테스트베드 구축 계획 수립
  2) 자율주행 시나리오 別 테스트 계획 수립
  3) SW 배포 프로세스 계획 수립</t>
    </r>
    <phoneticPr fontId="1" type="noConversion"/>
  </si>
  <si>
    <t>데이터 수집</t>
    <phoneticPr fontId="1" type="noConversion"/>
  </si>
  <si>
    <t>개발</t>
    <phoneticPr fontId="1" type="noConversion"/>
  </si>
  <si>
    <t>테스트</t>
    <phoneticPr fontId="1" type="noConversion"/>
  </si>
  <si>
    <t>Demo</t>
    <phoneticPr fontId="1" type="noConversion"/>
  </si>
  <si>
    <t>완료</t>
    <phoneticPr fontId="1" type="noConversion"/>
  </si>
  <si>
    <t>SW 관리 및 배포</t>
    <phoneticPr fontId="1" type="noConversion"/>
  </si>
  <si>
    <t>N/A</t>
    <phoneticPr fontId="1" type="noConversion"/>
  </si>
  <si>
    <t>NA</t>
    <phoneticPr fontId="1" type="noConversion"/>
  </si>
  <si>
    <t>과제 계획서</t>
    <phoneticPr fontId="1" type="noConversion"/>
  </si>
  <si>
    <t>SW Build Package</t>
    <phoneticPr fontId="1" type="noConversion"/>
  </si>
  <si>
    <t>데이터 수집 명세서</t>
    <phoneticPr fontId="1" type="noConversion"/>
  </si>
  <si>
    <t>전개 계획서</t>
    <phoneticPr fontId="1" type="noConversion"/>
  </si>
  <si>
    <t>N/A</t>
    <phoneticPr fontId="1" type="noConversion"/>
  </si>
  <si>
    <t>ALL</t>
    <phoneticPr fontId="1" type="noConversion"/>
  </si>
  <si>
    <t>9월</t>
    <phoneticPr fontId="1" type="noConversion"/>
  </si>
  <si>
    <t>12월</t>
    <phoneticPr fontId="1" type="noConversion"/>
  </si>
  <si>
    <t>데모 영상</t>
    <phoneticPr fontId="1" type="noConversion"/>
  </si>
  <si>
    <t>작성자</t>
    <phoneticPr fontId="1" type="noConversion"/>
  </si>
  <si>
    <t>버전</t>
    <phoneticPr fontId="1" type="noConversion"/>
  </si>
  <si>
    <t>최초 작성</t>
    <phoneticPr fontId="1" type="noConversion"/>
  </si>
  <si>
    <t>ver 1.0.1</t>
    <phoneticPr fontId="1" type="noConversion"/>
  </si>
  <si>
    <t>■ M2MCx 자율주행 로봇 개발 - WBS ('22년)</t>
    <phoneticPr fontId="1" type="noConversion"/>
  </si>
  <si>
    <t>최현석/
최인구</t>
    <phoneticPr fontId="1" type="noConversion"/>
  </si>
  <si>
    <t>최인구/
최현석</t>
    <phoneticPr fontId="1" type="noConversion"/>
  </si>
  <si>
    <r>
      <rPr>
        <b/>
        <sz val="10"/>
        <color theme="1"/>
        <rFont val="Calibri"/>
        <family val="3"/>
        <charset val="129"/>
        <scheme val="minor"/>
      </rPr>
      <t>1차 시나리오 별 자율주행 데모 시연</t>
    </r>
    <r>
      <rPr>
        <sz val="10"/>
        <color theme="1"/>
        <rFont val="Calibri"/>
        <family val="3"/>
        <charset val="129"/>
        <scheme val="minor"/>
      </rPr>
      <t xml:space="preserve">
  1) 외부 시스템에서 로봇 작업 지시와 목적지까지의 자율주행 모드 시연
  2) 자율주행 中 장애물 인식 및 회피 모드 시연</t>
    </r>
    <phoneticPr fontId="1" type="noConversion"/>
  </si>
  <si>
    <t>시스템 설계도</t>
    <phoneticPr fontId="1" type="noConversion"/>
  </si>
  <si>
    <t>HumanIT - AI 기반의 양액 펌프 막힘 및 이상감지 원인 분류</t>
  </si>
  <si>
    <t xml:space="preserve">요구사항 검토
  1) 관련 연구, 문헌 조사 및 전문가 자문을 통한 핵심 원천 기술 동향 검토
  2) 자율주행 로봇 개발을 위한 필요기술 검토
  3) RFP 자료 검토 </t>
  </si>
  <si>
    <r>
      <rPr>
        <b/>
        <sz val="10"/>
        <color theme="1"/>
        <rFont val="Calibri"/>
        <family val="3"/>
        <charset val="129"/>
        <scheme val="minor"/>
      </rPr>
      <t>문제 정의</t>
    </r>
    <r>
      <rPr>
        <sz val="10"/>
        <color theme="1"/>
        <rFont val="Calibri"/>
        <family val="2"/>
        <charset val="129"/>
        <scheme val="minor"/>
      </rPr>
      <t xml:space="preserve">
  1) 로봇 작업 시나리오 정의
  2) 과제 개발범위 및 최종목표 수립
  3) 과제일정 수립</t>
    </r>
  </si>
  <si>
    <t>김현준</t>
  </si>
  <si>
    <t>분석 주제 선정</t>
  </si>
  <si>
    <t>기획 및 설계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</si>
</sst>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164" formatCode="mm&quot;월&quot;\ dd&quot;일&quot;"/>
    <numFmt numFmtId="165" formatCode="0_);[Red]\(0\)"/>
    <numFmt numFmtId="166" formatCode="0.0%"/>
    <numFmt numFmtId="167" formatCode="mm&quot;월&quot;\ &quot;10일&quot;"/>
    <numFmt numFmtId="168" formatCode="mm&quot;월&quot;\ &quot;17일&quot;"/>
    <numFmt numFmtId="169" formatCode="mm&quot;월&quot;\ &quot;24일&quot;"/>
    <numFmt numFmtId="170" formatCode="mm&quot;월&quot;\ &quot;07일&quot;"/>
    <numFmt numFmtId="171" formatCode="mm&quot;월&quot;\ &quot;14일&quot;"/>
    <numFmt numFmtId="172" formatCode="mm&quot;월&quot;\ &quot;21일&quot;"/>
    <numFmt numFmtId="173" formatCode="mm&quot;월&quot;\ &quot;28일&quot;"/>
    <numFmt numFmtId="174" formatCode="mm&quot;월&quot;\ &quot;04일&quot;"/>
    <numFmt numFmtId="175" formatCode="mm&quot;월&quot;\ &quot;11일&quot;"/>
    <numFmt numFmtId="176" formatCode="mm&quot;월&quot;\ &quot;18일&quot;"/>
    <numFmt numFmtId="177" formatCode="mm&quot;월&quot;\ &quot;25일&quot;"/>
    <numFmt numFmtId="178" formatCode="mm&quot;월&quot;\ &quot;02일&quot;"/>
    <numFmt numFmtId="179" formatCode="mm&quot;월&quot;\ &quot;09일&quot;"/>
    <numFmt numFmtId="180" formatCode="mm&quot;월&quot;\ &quot;16일&quot;"/>
    <numFmt numFmtId="181" formatCode="mm&quot;월&quot;\ &quot;23일&quot;"/>
    <numFmt numFmtId="182" formatCode="mm&quot;월&quot;\ &quot;30일&quot;"/>
    <numFmt numFmtId="183" formatCode="mm&quot;월&quot;\ &quot;13일&quot;"/>
    <numFmt numFmtId="184" formatCode="mm&quot;월&quot;\ &quot;20일&quot;"/>
    <numFmt numFmtId="185" formatCode="mm&quot;월&quot;\ &quot;27일&quot;"/>
    <numFmt numFmtId="186" formatCode="mm&quot;월&quot;\ &quot;01일&quot;"/>
    <numFmt numFmtId="187" formatCode="mm&quot;월&quot;\ &quot;08일&quot;"/>
    <numFmt numFmtId="188" formatCode="mm&quot;월&quot;\ &quot;15일&quot;"/>
    <numFmt numFmtId="189" formatCode="mm&quot;월&quot;\ &quot;22일&quot;"/>
    <numFmt numFmtId="190" formatCode="mm&quot;월&quot;\ &quot;29일&quot;"/>
    <numFmt numFmtId="191" formatCode="mm&quot;월&quot;\ &quot;05일&quot;"/>
    <numFmt numFmtId="192" formatCode="mm&quot;월&quot;\ &quot;19일&quot;"/>
    <numFmt numFmtId="193" formatCode="mm&quot;월&quot;\ &quot;26일&quot;"/>
    <numFmt numFmtId="194" formatCode="mm&quot;월&quot;\ &quot;12일&quot;"/>
  </numFmts>
  <fonts count="19">
    <font>
      <sz val="11"/>
      <color theme="1"/>
      <name val="Calibri"/>
      <family val="2"/>
      <charset val="129"/>
      <scheme val="minor"/>
    </font>
    <font>
      <sz val="8"/>
      <name val="Calibri"/>
      <family val="2"/>
      <charset val="129"/>
      <scheme val="minor"/>
    </font>
    <font>
      <sz val="9"/>
      <color theme="1"/>
      <name val="Calibri"/>
      <family val="2"/>
      <charset val="129"/>
      <scheme val="minor"/>
    </font>
    <font>
      <sz val="10"/>
      <color theme="1"/>
      <name val="Calibri"/>
      <family val="2"/>
      <charset val="129"/>
      <scheme val="minor"/>
    </font>
    <font>
      <b/>
      <sz val="10"/>
      <color theme="1"/>
      <name val="Calibri"/>
      <family val="3"/>
      <charset val="129"/>
      <scheme val="minor"/>
    </font>
    <font>
      <sz val="9"/>
      <color theme="0"/>
      <name val="Calibri"/>
      <family val="2"/>
      <charset val="129"/>
      <scheme val="minor"/>
    </font>
    <font>
      <b/>
      <sz val="9"/>
      <color theme="1"/>
      <name val="Calibri"/>
      <family val="3"/>
      <charset val="129"/>
      <scheme val="minor"/>
    </font>
    <font>
      <sz val="10"/>
      <color theme="1"/>
      <name val="Calibri"/>
      <family val="3"/>
      <charset val="129"/>
      <scheme val="minor"/>
    </font>
    <font>
      <b/>
      <sz val="12"/>
      <color theme="1"/>
      <name val="Calibri"/>
      <family val="3"/>
      <charset val="129"/>
      <scheme val="minor"/>
    </font>
    <font>
      <sz val="9"/>
      <color theme="1"/>
      <name val="Calibri"/>
      <family val="3"/>
      <charset val="129"/>
      <scheme val="minor"/>
    </font>
    <font>
      <b/>
      <sz val="10"/>
      <color theme="1"/>
      <name val="Calibri"/>
      <family val="2"/>
      <charset val="129"/>
      <scheme val="minor"/>
    </font>
    <font>
      <b/>
      <sz val="11"/>
      <color theme="1"/>
      <name val="Calibri"/>
      <family val="3"/>
      <charset val="129"/>
      <scheme val="minor"/>
    </font>
    <font>
      <sz val="8"/>
      <color theme="1"/>
      <name val="Calibri"/>
      <family val="2"/>
      <charset val="129"/>
      <scheme val="minor"/>
    </font>
    <font>
      <sz val="11"/>
      <color theme="1"/>
      <name val="Calibri"/>
      <family val="2"/>
      <charset val="129"/>
      <scheme val="minor"/>
    </font>
    <font>
      <sz val="6"/>
      <color theme="1" tint="0.499984740745262"/>
      <name val="Calibri"/>
      <family val="2"/>
      <charset val="129"/>
      <scheme val="minor"/>
    </font>
    <font>
      <sz val="10"/>
      <name val="Calibri"/>
      <family val="2"/>
      <charset val="129"/>
      <scheme val="minor"/>
    </font>
    <font>
      <sz val="9"/>
      <color indexed="81"/>
      <name val="Tahoma"/>
      <family val="2"/>
    </font>
    <font>
      <sz val="9"/>
      <color indexed="81"/>
      <name val="돋움"/>
      <family val="3"/>
      <charset val="129"/>
    </font>
    <font>
      <b/>
      <sz val="14"/>
      <color theme="1"/>
      <name val="Calibri"/>
      <family val="3"/>
      <charset val="129"/>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s>
  <borders count="48">
    <border>
      <left/>
      <right/>
      <top/>
      <bottom/>
      <diagonal/>
    </border>
    <border>
      <left/>
      <right/>
      <top/>
      <bottom style="thin">
        <color theme="1"/>
      </bottom>
      <diagonal/>
    </border>
    <border>
      <left/>
      <right style="thin">
        <color theme="1" tint="0.499984740745262"/>
      </right>
      <top/>
      <bottom style="thin">
        <color theme="1"/>
      </bottom>
      <diagonal/>
    </border>
    <border>
      <left style="thin">
        <color theme="0"/>
      </left>
      <right style="thin">
        <color theme="0"/>
      </right>
      <top style="thin">
        <color indexed="64"/>
      </top>
      <bottom style="thin">
        <color theme="0"/>
      </bottom>
      <diagonal/>
    </border>
    <border>
      <left/>
      <right/>
      <top style="thin">
        <color indexed="64"/>
      </top>
      <bottom/>
      <diagonal/>
    </border>
    <border>
      <left/>
      <right/>
      <top/>
      <bottom style="thin">
        <color indexed="64"/>
      </bottom>
      <diagonal/>
    </border>
    <border>
      <left/>
      <right style="thin">
        <color theme="0" tint="-0.499984740745262"/>
      </right>
      <top/>
      <bottom style="thin">
        <color theme="1"/>
      </bottom>
      <diagonal/>
    </border>
    <border>
      <left style="thin">
        <color theme="0" tint="-0.499984740745262"/>
      </left>
      <right/>
      <top style="thin">
        <color indexed="64"/>
      </top>
      <bottom/>
      <diagonal/>
    </border>
    <border>
      <left style="thin">
        <color theme="0" tint="-0.499984740745262"/>
      </left>
      <right/>
      <top/>
      <bottom style="thin">
        <color theme="1"/>
      </bottom>
      <diagonal/>
    </border>
    <border>
      <left/>
      <right style="double">
        <color indexed="64"/>
      </right>
      <top/>
      <bottom/>
      <diagonal/>
    </border>
    <border>
      <left style="thin">
        <color theme="0"/>
      </left>
      <right style="thin">
        <color theme="0"/>
      </right>
      <top style="thin">
        <color theme="0"/>
      </top>
      <bottom style="thin">
        <color indexed="64"/>
      </bottom>
      <diagonal/>
    </border>
    <border>
      <left style="thin">
        <color theme="0"/>
      </left>
      <right style="double">
        <color indexed="64"/>
      </right>
      <top style="thin">
        <color theme="0"/>
      </top>
      <bottom style="thin">
        <color indexed="64"/>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double">
        <color indexed="64"/>
      </left>
      <right style="double">
        <color indexed="64"/>
      </right>
      <top style="thin">
        <color indexed="64"/>
      </top>
      <bottom/>
      <diagonal/>
    </border>
    <border>
      <left style="double">
        <color indexed="64"/>
      </left>
      <right style="double">
        <color indexed="64"/>
      </right>
      <top/>
      <bottom/>
      <diagonal/>
    </border>
    <border>
      <left style="double">
        <color indexed="64"/>
      </left>
      <right style="double">
        <color indexed="64"/>
      </right>
      <top/>
      <bottom style="thin">
        <color indexed="64"/>
      </bottom>
      <diagonal/>
    </border>
    <border>
      <left style="thin">
        <color theme="0"/>
      </left>
      <right style="thin">
        <color theme="0"/>
      </right>
      <top/>
      <bottom/>
      <diagonal/>
    </border>
    <border>
      <left style="thin">
        <color theme="0"/>
      </left>
      <right/>
      <top/>
      <bottom/>
      <diagonal/>
    </border>
    <border>
      <left style="thin">
        <color theme="0"/>
      </left>
      <right/>
      <top style="thin">
        <color indexed="64"/>
      </top>
      <bottom/>
      <diagonal/>
    </border>
    <border>
      <left/>
      <right style="thin">
        <color theme="0"/>
      </right>
      <top style="thin">
        <color indexed="64"/>
      </top>
      <bottom/>
      <diagonal/>
    </border>
    <border>
      <left style="thin">
        <color theme="0"/>
      </left>
      <right/>
      <top/>
      <bottom style="thin">
        <color theme="0"/>
      </bottom>
      <diagonal/>
    </border>
    <border>
      <left/>
      <right/>
      <top/>
      <bottom style="thin">
        <color theme="0"/>
      </bottom>
      <diagonal/>
    </border>
    <border>
      <left/>
      <right style="double">
        <color indexed="64"/>
      </right>
      <top style="thin">
        <color indexed="64"/>
      </top>
      <bottom/>
      <diagonal/>
    </border>
    <border>
      <left/>
      <right style="double">
        <color indexed="64"/>
      </right>
      <top/>
      <bottom style="thin">
        <color theme="0"/>
      </bottom>
      <diagonal/>
    </border>
    <border>
      <left/>
      <right style="thin">
        <color theme="0"/>
      </right>
      <top/>
      <bottom/>
      <diagonal/>
    </border>
    <border>
      <left style="thin">
        <color theme="0"/>
      </left>
      <right/>
      <top/>
      <bottom style="thin">
        <color indexed="64"/>
      </bottom>
      <diagonal/>
    </border>
    <border>
      <left/>
      <right style="thin">
        <color theme="0"/>
      </right>
      <top/>
      <bottom style="thin">
        <color indexed="64"/>
      </bottom>
      <diagonal/>
    </border>
    <border>
      <left style="double">
        <color indexed="64"/>
      </left>
      <right style="thin">
        <color indexed="64"/>
      </right>
      <top style="thin">
        <color indexed="64"/>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style="thin">
        <color theme="0" tint="-0.249977111117893"/>
      </right>
      <top style="thin">
        <color indexed="64"/>
      </top>
      <bottom style="thin">
        <color theme="1"/>
      </bottom>
      <diagonal/>
    </border>
    <border>
      <left/>
      <right style="thin">
        <color theme="1" tint="0.499984740745262"/>
      </right>
      <top style="thin">
        <color indexed="64"/>
      </top>
      <bottom style="thin">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theme="1"/>
      </bottom>
      <diagonal/>
    </border>
    <border>
      <left/>
      <right style="thin">
        <color theme="0" tint="-0.499984740745262"/>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auto="1"/>
      </left>
      <right/>
      <top/>
      <bottom style="thin">
        <color theme="1"/>
      </bottom>
      <diagonal/>
    </border>
    <border>
      <left style="thin">
        <color auto="1"/>
      </left>
      <right/>
      <top style="thin">
        <color indexed="64"/>
      </top>
      <bottom style="thin">
        <color theme="1"/>
      </bottom>
      <diagonal/>
    </border>
    <border>
      <left/>
      <right/>
      <top style="thin">
        <color indexed="64"/>
      </top>
      <bottom style="thin">
        <color theme="1"/>
      </bottom>
      <diagonal/>
    </border>
    <border>
      <left/>
      <right style="thin">
        <color theme="0" tint="-0.14999847407452621"/>
      </right>
      <top/>
      <bottom style="thin">
        <color theme="1"/>
      </bottom>
      <diagonal/>
    </border>
    <border>
      <left/>
      <right style="thin">
        <color auto="1"/>
      </right>
      <top style="thin">
        <color indexed="64"/>
      </top>
      <bottom style="thin">
        <color theme="1"/>
      </bottom>
      <diagonal/>
    </border>
    <border>
      <left/>
      <right style="thin">
        <color theme="0" tint="-0.14999847407452621"/>
      </right>
      <top style="thin">
        <color auto="1"/>
      </top>
      <bottom style="thin">
        <color indexed="64"/>
      </bottom>
      <diagonal/>
    </border>
    <border>
      <left/>
      <right style="thin">
        <color theme="0" tint="-0.14999847407452621"/>
      </right>
      <top/>
      <bottom style="thin">
        <color auto="1"/>
      </bottom>
      <diagonal/>
    </border>
  </borders>
  <cellStyleXfs count="2">
    <xf numFmtId="0" fontId="0" fillId="0" borderId="0">
      <alignment vertical="center"/>
    </xf>
    <xf numFmtId="9" fontId="13" fillId="0" borderId="0" applyFont="0" applyFill="0" applyBorder="0" applyAlignment="0" applyProtection="0">
      <alignment vertical="center"/>
    </xf>
  </cellStyleXfs>
  <cellXfs count="155">
    <xf numFmtId="0" fontId="0" fillId="0" borderId="0" xfId="0">
      <alignment vertical="center"/>
    </xf>
    <xf numFmtId="0" fontId="3" fillId="0" borderId="0" xfId="0" applyFont="1">
      <alignment vertical="center"/>
    </xf>
    <xf numFmtId="0" fontId="3" fillId="0" borderId="0" xfId="0" applyFont="1" applyAlignment="1">
      <alignment horizontal="center" vertical="center"/>
    </xf>
    <xf numFmtId="0" fontId="4" fillId="0" borderId="0" xfId="0" applyFont="1">
      <alignment vertical="center"/>
    </xf>
    <xf numFmtId="165" fontId="3" fillId="0" borderId="0" xfId="0" applyNumberFormat="1" applyFont="1" applyAlignment="1">
      <alignment horizontal="center" vertical="center"/>
    </xf>
    <xf numFmtId="164" fontId="5" fillId="0" borderId="1" xfId="0" applyNumberFormat="1" applyFont="1" applyBorder="1" applyAlignment="1">
      <alignment horizontal="center" vertical="center"/>
    </xf>
    <xf numFmtId="164" fontId="5" fillId="0" borderId="2" xfId="0" applyNumberFormat="1" applyFont="1" applyBorder="1" applyAlignment="1">
      <alignment horizontal="center" vertical="center"/>
    </xf>
    <xf numFmtId="14" fontId="2" fillId="0" borderId="0" xfId="0" applyNumberFormat="1" applyFont="1" applyAlignment="1">
      <alignment horizontal="center" vertical="center"/>
    </xf>
    <xf numFmtId="164" fontId="5" fillId="0" borderId="8" xfId="0" applyNumberFormat="1" applyFont="1" applyBorder="1" applyAlignment="1">
      <alignment horizontal="center" vertical="center"/>
    </xf>
    <xf numFmtId="0" fontId="8" fillId="0" borderId="0" xfId="0" applyFont="1">
      <alignment vertical="center"/>
    </xf>
    <xf numFmtId="165" fontId="4" fillId="2" borderId="11" xfId="0" applyNumberFormat="1" applyFont="1" applyFill="1" applyBorder="1" applyAlignment="1">
      <alignment horizontal="center" vertical="center" wrapText="1"/>
    </xf>
    <xf numFmtId="0" fontId="9" fillId="0" borderId="12" xfId="0" applyFont="1" applyBorder="1">
      <alignment vertical="center"/>
    </xf>
    <xf numFmtId="0" fontId="6" fillId="0" borderId="0" xfId="0" applyFont="1" applyAlignment="1">
      <alignment horizontal="right" vertical="center"/>
    </xf>
    <xf numFmtId="0" fontId="11" fillId="0" borderId="0" xfId="0" applyFont="1">
      <alignment vertical="center"/>
    </xf>
    <xf numFmtId="14" fontId="3" fillId="0" borderId="13" xfId="0" applyNumberFormat="1" applyFont="1" applyBorder="1" applyAlignment="1">
      <alignment horizontal="center" vertical="center"/>
    </xf>
    <xf numFmtId="0" fontId="4" fillId="4" borderId="13" xfId="0" applyFont="1" applyFill="1" applyBorder="1" applyAlignment="1">
      <alignment horizontal="center" vertical="center"/>
    </xf>
    <xf numFmtId="14" fontId="15" fillId="0" borderId="13" xfId="0" applyNumberFormat="1" applyFont="1" applyBorder="1" applyAlignment="1">
      <alignment horizontal="center" vertical="center"/>
    </xf>
    <xf numFmtId="0" fontId="12" fillId="0" borderId="0" xfId="0" applyFont="1" applyAlignment="1">
      <alignment horizontal="left" vertical="center"/>
    </xf>
    <xf numFmtId="0" fontId="2" fillId="0" borderId="0" xfId="0" applyFont="1" applyAlignment="1">
      <alignment horizontal="center" vertical="center"/>
    </xf>
    <xf numFmtId="0" fontId="4" fillId="2" borderId="10" xfId="0" applyFont="1" applyFill="1" applyBorder="1" applyAlignment="1">
      <alignment horizontal="center" vertical="center"/>
    </xf>
    <xf numFmtId="0" fontId="4" fillId="4" borderId="0" xfId="0" applyFont="1" applyFill="1" applyAlignment="1">
      <alignment vertical="top"/>
    </xf>
    <xf numFmtId="0" fontId="6" fillId="4" borderId="0" xfId="0" applyFont="1" applyFill="1" applyAlignment="1">
      <alignment horizontal="right" vertical="top"/>
    </xf>
    <xf numFmtId="14" fontId="9" fillId="4" borderId="0" xfId="0" applyNumberFormat="1" applyFont="1" applyFill="1" applyAlignment="1">
      <alignment horizontal="center" vertical="top"/>
    </xf>
    <xf numFmtId="165" fontId="9" fillId="4" borderId="9" xfId="0" applyNumberFormat="1" applyFont="1" applyFill="1" applyBorder="1" applyAlignment="1">
      <alignment horizontal="center" vertical="top"/>
    </xf>
    <xf numFmtId="166" fontId="4" fillId="4" borderId="15" xfId="1" applyNumberFormat="1" applyFont="1" applyFill="1" applyBorder="1" applyAlignment="1">
      <alignment horizontal="right" vertical="top"/>
    </xf>
    <xf numFmtId="165" fontId="3" fillId="4" borderId="29" xfId="0" applyNumberFormat="1" applyFont="1" applyFill="1" applyBorder="1" applyAlignment="1">
      <alignment horizontal="center" vertical="top"/>
    </xf>
    <xf numFmtId="165" fontId="3" fillId="4" borderId="0" xfId="0" applyNumberFormat="1" applyFont="1" applyFill="1" applyAlignment="1">
      <alignment horizontal="center" vertical="top"/>
    </xf>
    <xf numFmtId="0" fontId="3" fillId="5" borderId="0" xfId="0" applyFont="1" applyFill="1" applyAlignment="1">
      <alignment vertical="top"/>
    </xf>
    <xf numFmtId="0" fontId="4" fillId="5" borderId="0" xfId="0" applyFont="1" applyFill="1" applyAlignment="1">
      <alignment vertical="top"/>
    </xf>
    <xf numFmtId="0" fontId="7" fillId="5" borderId="0" xfId="0" applyFont="1" applyFill="1" applyAlignment="1">
      <alignment vertical="top"/>
    </xf>
    <xf numFmtId="14" fontId="9" fillId="5" borderId="0" xfId="0" applyNumberFormat="1" applyFont="1" applyFill="1" applyAlignment="1">
      <alignment horizontal="center" vertical="top"/>
    </xf>
    <xf numFmtId="165" fontId="9" fillId="5" borderId="9" xfId="0" applyNumberFormat="1" applyFont="1" applyFill="1" applyBorder="1" applyAlignment="1">
      <alignment horizontal="center" vertical="top"/>
    </xf>
    <xf numFmtId="165" fontId="7" fillId="5" borderId="15" xfId="0" applyNumberFormat="1" applyFont="1" applyFill="1" applyBorder="1" applyAlignment="1">
      <alignment horizontal="center" vertical="top" wrapText="1"/>
    </xf>
    <xf numFmtId="165" fontId="7" fillId="5" borderId="29" xfId="0" applyNumberFormat="1" applyFont="1" applyFill="1" applyBorder="1" applyAlignment="1">
      <alignment horizontal="center" vertical="top" wrapText="1"/>
    </xf>
    <xf numFmtId="165" fontId="7" fillId="5" borderId="0" xfId="0" applyNumberFormat="1" applyFont="1" applyFill="1" applyAlignment="1">
      <alignment horizontal="left" vertical="top" wrapText="1"/>
    </xf>
    <xf numFmtId="165" fontId="7" fillId="5" borderId="0" xfId="0" applyNumberFormat="1" applyFont="1" applyFill="1" applyAlignment="1">
      <alignment horizontal="center" vertical="top" wrapText="1"/>
    </xf>
    <xf numFmtId="0" fontId="3" fillId="0" borderId="0" xfId="0" applyFont="1" applyAlignment="1">
      <alignment vertical="top"/>
    </xf>
    <xf numFmtId="0" fontId="4" fillId="0" borderId="0" xfId="0" applyFont="1" applyAlignment="1">
      <alignment vertical="top"/>
    </xf>
    <xf numFmtId="0" fontId="7" fillId="0" borderId="0" xfId="0" applyFont="1" applyAlignment="1">
      <alignment horizontal="left" vertical="top" wrapText="1"/>
    </xf>
    <xf numFmtId="0" fontId="18" fillId="4" borderId="0" xfId="0" applyFont="1" applyFill="1" applyAlignment="1">
      <alignment vertical="top"/>
    </xf>
    <xf numFmtId="0" fontId="4" fillId="5" borderId="0" xfId="0" applyFont="1" applyFill="1" applyAlignment="1">
      <alignment horizontal="right" vertical="top"/>
    </xf>
    <xf numFmtId="0" fontId="7" fillId="5" borderId="0" xfId="0" applyFont="1" applyFill="1" applyAlignment="1">
      <alignment horizontal="right" vertical="top"/>
    </xf>
    <xf numFmtId="0" fontId="4" fillId="0" borderId="0" xfId="0" applyFont="1" applyAlignment="1">
      <alignment horizontal="right" vertical="top"/>
    </xf>
    <xf numFmtId="0" fontId="14" fillId="4" borderId="33" xfId="0" applyFont="1" applyFill="1" applyBorder="1" applyAlignment="1">
      <alignment horizontal="center" vertical="center"/>
    </xf>
    <xf numFmtId="0" fontId="14" fillId="4" borderId="34" xfId="0" applyFont="1" applyFill="1" applyBorder="1" applyAlignment="1">
      <alignment horizontal="center" vertical="center"/>
    </xf>
    <xf numFmtId="0" fontId="14" fillId="4" borderId="35" xfId="0" applyFont="1" applyFill="1" applyBorder="1" applyAlignment="1">
      <alignment horizontal="center" vertical="center"/>
    </xf>
    <xf numFmtId="165" fontId="2" fillId="4" borderId="0" xfId="0" applyNumberFormat="1" applyFont="1" applyFill="1" applyAlignment="1">
      <alignment horizontal="center" vertical="top" wrapText="1"/>
    </xf>
    <xf numFmtId="165" fontId="3" fillId="0" borderId="9" xfId="0" applyNumberFormat="1" applyFont="1" applyBorder="1" applyAlignment="1">
      <alignment horizontal="center" vertical="center"/>
    </xf>
    <xf numFmtId="165" fontId="3" fillId="0" borderId="29" xfId="0" applyNumberFormat="1" applyFont="1" applyBorder="1" applyAlignment="1">
      <alignment horizontal="center" vertical="center"/>
    </xf>
    <xf numFmtId="165" fontId="7" fillId="0" borderId="15" xfId="0" applyNumberFormat="1" applyFont="1" applyBorder="1" applyAlignment="1">
      <alignment horizontal="center" vertical="center" wrapText="1"/>
    </xf>
    <xf numFmtId="165" fontId="7" fillId="5" borderId="15" xfId="0" applyNumberFormat="1" applyFont="1" applyFill="1" applyBorder="1" applyAlignment="1">
      <alignment horizontal="center" vertical="center" wrapText="1"/>
    </xf>
    <xf numFmtId="165" fontId="7" fillId="0" borderId="9" xfId="0" applyNumberFormat="1" applyFont="1" applyBorder="1" applyAlignment="1">
      <alignment horizontal="center" vertical="center" wrapText="1"/>
    </xf>
    <xf numFmtId="14" fontId="9" fillId="0" borderId="0" xfId="0" applyNumberFormat="1" applyFont="1" applyAlignment="1">
      <alignment horizontal="center" vertical="center"/>
    </xf>
    <xf numFmtId="165" fontId="9" fillId="0" borderId="9" xfId="0" applyNumberFormat="1" applyFont="1" applyBorder="1" applyAlignment="1">
      <alignment horizontal="center" vertical="center"/>
    </xf>
    <xf numFmtId="165" fontId="7" fillId="0" borderId="29" xfId="0" applyNumberFormat="1" applyFont="1" applyBorder="1" applyAlignment="1">
      <alignment horizontal="center" vertical="center" wrapText="1"/>
    </xf>
    <xf numFmtId="14" fontId="9" fillId="5" borderId="0" xfId="0" applyNumberFormat="1" applyFont="1" applyFill="1" applyAlignment="1">
      <alignment horizontal="center" vertical="center"/>
    </xf>
    <xf numFmtId="165" fontId="9" fillId="5" borderId="9" xfId="0" applyNumberFormat="1" applyFont="1" applyFill="1" applyBorder="1" applyAlignment="1">
      <alignment horizontal="center" vertical="center"/>
    </xf>
    <xf numFmtId="165" fontId="7" fillId="5" borderId="29" xfId="0" applyNumberFormat="1" applyFont="1" applyFill="1" applyBorder="1" applyAlignment="1">
      <alignment horizontal="center" vertical="center" wrapText="1"/>
    </xf>
    <xf numFmtId="165" fontId="7" fillId="0" borderId="0" xfId="0" applyNumberFormat="1" applyFont="1" applyAlignment="1">
      <alignment horizontal="center" vertical="center" wrapText="1"/>
    </xf>
    <xf numFmtId="165" fontId="7" fillId="5" borderId="0" xfId="0" applyNumberFormat="1" applyFont="1" applyFill="1" applyAlignment="1">
      <alignment horizontal="center" vertical="center" wrapText="1"/>
    </xf>
    <xf numFmtId="165" fontId="3" fillId="0" borderId="0" xfId="0" applyNumberFormat="1" applyFont="1" applyAlignment="1">
      <alignment horizontal="center" vertical="center" wrapText="1"/>
    </xf>
    <xf numFmtId="0" fontId="4" fillId="0" borderId="0" xfId="0" applyFont="1" applyAlignment="1">
      <alignment horizontal="left" vertical="top" wrapText="1"/>
    </xf>
    <xf numFmtId="0" fontId="6" fillId="0" borderId="0" xfId="0" applyFont="1" applyAlignment="1">
      <alignment horizontal="right" vertical="top"/>
    </xf>
    <xf numFmtId="0" fontId="7" fillId="0" borderId="0" xfId="0" applyFont="1" applyAlignment="1">
      <alignment vertical="top" wrapText="1"/>
    </xf>
    <xf numFmtId="167" fontId="5" fillId="0" borderId="1" xfId="0" applyNumberFormat="1" applyFont="1" applyBorder="1" applyAlignment="1">
      <alignment horizontal="center" vertical="center"/>
    </xf>
    <xf numFmtId="168" fontId="5" fillId="0" borderId="1" xfId="0" applyNumberFormat="1" applyFont="1" applyBorder="1" applyAlignment="1">
      <alignment horizontal="center" vertical="center"/>
    </xf>
    <xf numFmtId="169" fontId="5" fillId="0" borderId="2" xfId="0" applyNumberFormat="1" applyFont="1" applyBorder="1" applyAlignment="1">
      <alignment horizontal="center" vertical="center"/>
    </xf>
    <xf numFmtId="170" fontId="5" fillId="0" borderId="1" xfId="0" applyNumberFormat="1" applyFont="1" applyBorder="1" applyAlignment="1">
      <alignment horizontal="center" vertical="center"/>
    </xf>
    <xf numFmtId="171" fontId="5" fillId="0" borderId="1" xfId="0" applyNumberFormat="1" applyFont="1" applyBorder="1" applyAlignment="1">
      <alignment horizontal="center" vertical="center"/>
    </xf>
    <xf numFmtId="172" fontId="5" fillId="0" borderId="2" xfId="0" applyNumberFormat="1" applyFont="1" applyBorder="1" applyAlignment="1">
      <alignment horizontal="center" vertical="center"/>
    </xf>
    <xf numFmtId="172" fontId="5" fillId="0" borderId="31" xfId="0" applyNumberFormat="1" applyFont="1" applyBorder="1" applyAlignment="1">
      <alignment horizontal="center" vertical="center"/>
    </xf>
    <xf numFmtId="173" fontId="5" fillId="0" borderId="32" xfId="0" applyNumberFormat="1" applyFont="1" applyBorder="1" applyAlignment="1">
      <alignment horizontal="center" vertical="center"/>
    </xf>
    <xf numFmtId="174" fontId="5" fillId="0" borderId="1" xfId="0" applyNumberFormat="1" applyFont="1" applyBorder="1" applyAlignment="1">
      <alignment horizontal="center" vertical="center"/>
    </xf>
    <xf numFmtId="175" fontId="5" fillId="0" borderId="1" xfId="0" applyNumberFormat="1" applyFont="1" applyBorder="1" applyAlignment="1">
      <alignment horizontal="center" vertical="center"/>
    </xf>
    <xf numFmtId="176" fontId="5" fillId="0" borderId="1" xfId="0" applyNumberFormat="1" applyFont="1" applyBorder="1" applyAlignment="1">
      <alignment horizontal="center" vertical="center"/>
    </xf>
    <xf numFmtId="177" fontId="5" fillId="0" borderId="2" xfId="0" applyNumberFormat="1" applyFont="1" applyBorder="1" applyAlignment="1">
      <alignment horizontal="center" vertical="center"/>
    </xf>
    <xf numFmtId="178" fontId="5" fillId="0" borderId="1" xfId="0" applyNumberFormat="1" applyFont="1" applyBorder="1" applyAlignment="1">
      <alignment horizontal="center" vertical="center"/>
    </xf>
    <xf numFmtId="179" fontId="5" fillId="0" borderId="1" xfId="0" applyNumberFormat="1" applyFont="1" applyBorder="1" applyAlignment="1">
      <alignment horizontal="center" vertical="center"/>
    </xf>
    <xf numFmtId="180" fontId="5" fillId="0" borderId="1" xfId="0" applyNumberFormat="1" applyFont="1" applyBorder="1" applyAlignment="1">
      <alignment horizontal="center" vertical="center"/>
    </xf>
    <xf numFmtId="181" fontId="5" fillId="0" borderId="1" xfId="0" applyNumberFormat="1" applyFont="1" applyBorder="1" applyAlignment="1">
      <alignment horizontal="center" vertical="center"/>
    </xf>
    <xf numFmtId="182" fontId="5" fillId="0" borderId="36" xfId="0" applyNumberFormat="1" applyFont="1" applyBorder="1" applyAlignment="1">
      <alignment horizontal="center" vertical="center"/>
    </xf>
    <xf numFmtId="183" fontId="5" fillId="0" borderId="1" xfId="0" applyNumberFormat="1" applyFont="1" applyBorder="1" applyAlignment="1">
      <alignment horizontal="center" vertical="center"/>
    </xf>
    <xf numFmtId="184" fontId="5" fillId="0" borderId="31" xfId="0" applyNumberFormat="1" applyFont="1" applyBorder="1" applyAlignment="1">
      <alignment horizontal="center" vertical="center"/>
    </xf>
    <xf numFmtId="185" fontId="5" fillId="0" borderId="32" xfId="0" applyNumberFormat="1" applyFont="1" applyBorder="1" applyAlignment="1">
      <alignment horizontal="center" vertical="center"/>
    </xf>
    <xf numFmtId="187" fontId="5" fillId="0" borderId="1" xfId="0" applyNumberFormat="1" applyFont="1" applyBorder="1" applyAlignment="1">
      <alignment horizontal="center" vertical="center"/>
    </xf>
    <xf numFmtId="188" fontId="5" fillId="0" borderId="1" xfId="0" applyNumberFormat="1" applyFont="1" applyBorder="1" applyAlignment="1">
      <alignment horizontal="center" vertical="center"/>
    </xf>
    <xf numFmtId="191" fontId="5" fillId="0" borderId="1" xfId="0" applyNumberFormat="1" applyFont="1" applyBorder="1" applyAlignment="1">
      <alignment horizontal="center" vertical="center"/>
    </xf>
    <xf numFmtId="192" fontId="5" fillId="0" borderId="1" xfId="0" applyNumberFormat="1" applyFont="1" applyBorder="1" applyAlignment="1">
      <alignment horizontal="center" vertical="center"/>
    </xf>
    <xf numFmtId="193" fontId="5" fillId="0" borderId="6" xfId="0" applyNumberFormat="1" applyFont="1" applyBorder="1" applyAlignment="1">
      <alignment horizontal="center" vertical="center"/>
    </xf>
    <xf numFmtId="194" fontId="5" fillId="0" borderId="1" xfId="0" applyNumberFormat="1" applyFont="1" applyBorder="1" applyAlignment="1">
      <alignment horizontal="center" vertical="center"/>
    </xf>
    <xf numFmtId="193" fontId="5" fillId="0" borderId="1" xfId="0" applyNumberFormat="1" applyFont="1" applyBorder="1" applyAlignment="1">
      <alignment horizontal="center" vertical="center"/>
    </xf>
    <xf numFmtId="0" fontId="14" fillId="4" borderId="38" xfId="0" applyFont="1" applyFill="1" applyBorder="1" applyAlignment="1">
      <alignment horizontal="center" vertical="center"/>
    </xf>
    <xf numFmtId="0" fontId="14" fillId="4" borderId="5" xfId="0" applyFont="1" applyFill="1" applyBorder="1" applyAlignment="1">
      <alignment horizontal="center" vertical="center"/>
    </xf>
    <xf numFmtId="0" fontId="14" fillId="4" borderId="39" xfId="0" applyFont="1" applyFill="1" applyBorder="1" applyAlignment="1">
      <alignment horizontal="center" vertical="center"/>
    </xf>
    <xf numFmtId="177" fontId="5" fillId="0" borderId="1" xfId="0" applyNumberFormat="1" applyFont="1" applyBorder="1" applyAlignment="1">
      <alignment horizontal="center" vertical="center"/>
    </xf>
    <xf numFmtId="186" fontId="5" fillId="0" borderId="41" xfId="0" applyNumberFormat="1" applyFont="1" applyBorder="1" applyAlignment="1">
      <alignment horizontal="center" vertical="center"/>
    </xf>
    <xf numFmtId="189" fontId="5" fillId="0" borderId="1" xfId="0" applyNumberFormat="1" applyFont="1" applyBorder="1" applyAlignment="1">
      <alignment horizontal="center" vertical="center"/>
    </xf>
    <xf numFmtId="186" fontId="5" fillId="0" borderId="38" xfId="0" applyNumberFormat="1" applyFont="1" applyBorder="1" applyAlignment="1">
      <alignment horizontal="center" vertical="center"/>
    </xf>
    <xf numFmtId="187" fontId="5" fillId="0" borderId="5" xfId="0" applyNumberFormat="1" applyFont="1" applyBorder="1" applyAlignment="1">
      <alignment horizontal="center" vertical="center"/>
    </xf>
    <xf numFmtId="188" fontId="5" fillId="0" borderId="5" xfId="0" applyNumberFormat="1" applyFont="1" applyBorder="1" applyAlignment="1">
      <alignment horizontal="center" vertical="center"/>
    </xf>
    <xf numFmtId="189" fontId="5" fillId="0" borderId="5" xfId="0" applyNumberFormat="1" applyFont="1" applyBorder="1" applyAlignment="1">
      <alignment horizontal="center" vertical="center"/>
    </xf>
    <xf numFmtId="186" fontId="5" fillId="0" borderId="42" xfId="0" applyNumberFormat="1" applyFont="1" applyBorder="1" applyAlignment="1">
      <alignment horizontal="center" vertical="center"/>
    </xf>
    <xf numFmtId="187" fontId="5" fillId="0" borderId="43" xfId="0" applyNumberFormat="1" applyFont="1" applyBorder="1" applyAlignment="1">
      <alignment horizontal="center" vertical="center"/>
    </xf>
    <xf numFmtId="188" fontId="5" fillId="0" borderId="43" xfId="0" applyNumberFormat="1" applyFont="1" applyBorder="1" applyAlignment="1">
      <alignment horizontal="center" vertical="center"/>
    </xf>
    <xf numFmtId="189" fontId="5" fillId="0" borderId="43" xfId="0" applyNumberFormat="1" applyFont="1" applyBorder="1" applyAlignment="1">
      <alignment horizontal="center" vertical="center"/>
    </xf>
    <xf numFmtId="190" fontId="5" fillId="0" borderId="45" xfId="0" applyNumberFormat="1" applyFont="1" applyBorder="1" applyAlignment="1">
      <alignment horizontal="center" vertical="center"/>
    </xf>
    <xf numFmtId="190" fontId="5" fillId="0" borderId="36" xfId="0" applyNumberFormat="1" applyFont="1" applyBorder="1" applyAlignment="1">
      <alignment horizontal="center" vertical="center"/>
    </xf>
    <xf numFmtId="190" fontId="5" fillId="0" borderId="39" xfId="0" applyNumberFormat="1" applyFont="1" applyBorder="1" applyAlignment="1">
      <alignment horizontal="center" vertical="center"/>
    </xf>
    <xf numFmtId="172" fontId="5" fillId="0" borderId="44" xfId="0" applyNumberFormat="1" applyFont="1" applyBorder="1" applyAlignment="1">
      <alignment horizontal="center" vertical="center"/>
    </xf>
    <xf numFmtId="169" fontId="5" fillId="0" borderId="1" xfId="0" applyNumberFormat="1" applyFont="1" applyBorder="1" applyAlignment="1">
      <alignment horizontal="center" vertical="center"/>
    </xf>
    <xf numFmtId="0" fontId="14" fillId="4" borderId="46" xfId="0" applyFont="1" applyFill="1" applyBorder="1" applyAlignment="1">
      <alignment horizontal="center" vertical="center"/>
    </xf>
    <xf numFmtId="164" fontId="5" fillId="0" borderId="41" xfId="0" applyNumberFormat="1" applyFont="1" applyBorder="1" applyAlignment="1">
      <alignment horizontal="center" vertical="center"/>
    </xf>
    <xf numFmtId="173" fontId="5" fillId="0" borderId="36" xfId="0" applyNumberFormat="1" applyFont="1" applyBorder="1" applyAlignment="1">
      <alignment horizontal="center" vertical="center"/>
    </xf>
    <xf numFmtId="164" fontId="5" fillId="0" borderId="38" xfId="0" applyNumberFormat="1" applyFont="1" applyBorder="1" applyAlignment="1">
      <alignment horizontal="center" vertical="center"/>
    </xf>
    <xf numFmtId="170" fontId="5" fillId="0" borderId="5" xfId="0" applyNumberFormat="1" applyFont="1" applyBorder="1" applyAlignment="1">
      <alignment horizontal="center" vertical="center"/>
    </xf>
    <xf numFmtId="171" fontId="5" fillId="0" borderId="5" xfId="0" applyNumberFormat="1" applyFont="1" applyBorder="1" applyAlignment="1">
      <alignment horizontal="center" vertical="center"/>
    </xf>
    <xf numFmtId="172" fontId="5" fillId="0" borderId="47" xfId="0" applyNumberFormat="1" applyFont="1" applyBorder="1" applyAlignment="1">
      <alignment horizontal="center" vertical="center"/>
    </xf>
    <xf numFmtId="173" fontId="5" fillId="0" borderId="39" xfId="0" applyNumberFormat="1" applyFont="1" applyBorder="1" applyAlignment="1">
      <alignment horizontal="center" vertical="center"/>
    </xf>
    <xf numFmtId="0" fontId="3" fillId="0" borderId="13" xfId="0" applyFont="1" applyBorder="1" applyAlignment="1">
      <alignment horizontal="center" vertical="center"/>
    </xf>
    <xf numFmtId="0" fontId="15" fillId="0" borderId="13" xfId="0" applyFont="1" applyBorder="1" applyAlignment="1">
      <alignment horizontal="center" vertical="center" wrapText="1"/>
    </xf>
    <xf numFmtId="0" fontId="3" fillId="0" borderId="13" xfId="0" applyFont="1" applyBorder="1" applyAlignment="1">
      <alignment horizontal="center" vertical="center" wrapText="1"/>
    </xf>
    <xf numFmtId="0" fontId="10" fillId="3" borderId="7" xfId="0" applyFont="1" applyFill="1" applyBorder="1" applyAlignment="1">
      <alignment horizontal="center" vertical="center"/>
    </xf>
    <xf numFmtId="0" fontId="10" fillId="3" borderId="0" xfId="0" applyFont="1" applyFill="1" applyAlignment="1">
      <alignment horizontal="center" vertical="center"/>
    </xf>
    <xf numFmtId="0" fontId="4" fillId="3" borderId="0" xfId="0" applyFont="1" applyFill="1" applyAlignment="1">
      <alignment horizontal="center" vertical="center"/>
    </xf>
    <xf numFmtId="0" fontId="6" fillId="3" borderId="13"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37" xfId="0" applyFont="1" applyFill="1" applyBorder="1" applyAlignment="1">
      <alignment horizontal="center" vertical="center"/>
    </xf>
    <xf numFmtId="0" fontId="6" fillId="3" borderId="40" xfId="0" applyFont="1" applyFill="1" applyBorder="1" applyAlignment="1">
      <alignment horizontal="center" vertical="center"/>
    </xf>
    <xf numFmtId="14" fontId="2" fillId="0" borderId="0" xfId="0" applyNumberFormat="1" applyFont="1" applyAlignment="1">
      <alignment horizontal="center" vertical="center"/>
    </xf>
    <xf numFmtId="0" fontId="2" fillId="0" borderId="0" xfId="0" applyFont="1" applyAlignment="1">
      <alignment horizontal="center" vertical="center"/>
    </xf>
    <xf numFmtId="0" fontId="4" fillId="2" borderId="3"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10" xfId="0" applyFont="1" applyFill="1" applyBorder="1" applyAlignment="1">
      <alignment horizontal="center" vertical="center"/>
    </xf>
    <xf numFmtId="0" fontId="4" fillId="2" borderId="19"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0" xfId="0" applyFont="1" applyFill="1" applyBorder="1" applyAlignment="1">
      <alignment horizontal="center" vertical="center"/>
    </xf>
    <xf numFmtId="0" fontId="4" fillId="2" borderId="18" xfId="0" applyFont="1" applyFill="1" applyBorder="1" applyAlignment="1">
      <alignment horizontal="center" vertical="center"/>
    </xf>
    <xf numFmtId="0" fontId="4" fillId="2" borderId="0" xfId="0" applyFont="1" applyFill="1" applyAlignment="1">
      <alignment horizontal="center" vertical="center"/>
    </xf>
    <xf numFmtId="0" fontId="4" fillId="2" borderId="25" xfId="0" applyFont="1" applyFill="1" applyBorder="1" applyAlignment="1">
      <alignment horizontal="center" vertical="center"/>
    </xf>
    <xf numFmtId="0" fontId="4" fillId="2" borderId="26"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27" xfId="0" applyFont="1" applyFill="1" applyBorder="1" applyAlignment="1">
      <alignment horizontal="center" vertical="center"/>
    </xf>
    <xf numFmtId="0" fontId="4" fillId="2" borderId="23"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22"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14"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4" fillId="2" borderId="16" xfId="0" applyFont="1" applyFill="1" applyBorder="1" applyAlignment="1">
      <alignment horizontal="center" vertical="center"/>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4" fillId="2" borderId="30"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5" xfId="0" applyFont="1" applyFill="1" applyBorder="1" applyAlignment="1">
      <alignment horizontal="center" vertical="center" wrapText="1"/>
    </xf>
  </cellXfs>
  <cellStyles count="2">
    <cellStyle name="Normal" xfId="0" builtinId="0"/>
    <cellStyle name="Percent" xfId="1" builtinId="5"/>
  </cellStyles>
  <dxfs count="22">
    <dxf>
      <font>
        <color theme="4" tint="0.39994506668294322"/>
      </font>
      <fill>
        <patternFill>
          <bgColor theme="4" tint="0.39994506668294322"/>
        </patternFill>
      </fill>
    </dxf>
    <dxf>
      <font>
        <color theme="4" tint="0.79998168889431442"/>
      </font>
      <fill>
        <patternFill>
          <bgColor theme="4" tint="0.79998168889431442"/>
        </patternFill>
      </fill>
    </dxf>
    <dxf>
      <font>
        <color theme="9" tint="0.79998168889431442"/>
      </font>
      <fill>
        <patternFill>
          <bgColor theme="9" tint="-0.24994659260841701"/>
        </patternFill>
      </fill>
    </dxf>
    <dxf>
      <font>
        <color rgb="FF9C6500"/>
      </font>
      <fill>
        <patternFill>
          <bgColor rgb="FFFFEB9C"/>
        </patternFill>
      </fill>
    </dxf>
    <dxf>
      <font>
        <color rgb="FF9C0006"/>
      </font>
      <fill>
        <patternFill>
          <bgColor rgb="FFFFC7CE"/>
        </patternFill>
      </fill>
    </dxf>
    <dxf>
      <font>
        <color theme="9" tint="0.79998168889431442"/>
      </font>
      <fill>
        <patternFill>
          <bgColor theme="9" tint="-0.24994659260841701"/>
        </patternFill>
      </fill>
    </dxf>
    <dxf>
      <font>
        <color rgb="FF9C6500"/>
      </font>
      <fill>
        <patternFill>
          <bgColor rgb="FFFFEB9C"/>
        </patternFill>
      </fill>
    </dxf>
    <dxf>
      <font>
        <color rgb="FF9C0006"/>
      </font>
      <fill>
        <patternFill>
          <bgColor rgb="FFFFC7CE"/>
        </patternFill>
      </fill>
    </dxf>
    <dxf>
      <font>
        <color theme="4" tint="0.39994506668294322"/>
      </font>
      <fill>
        <patternFill>
          <bgColor theme="4" tint="0.39994506668294322"/>
        </patternFill>
      </fill>
    </dxf>
    <dxf>
      <font>
        <color theme="4" tint="0.39994506668294322"/>
      </font>
      <fill>
        <patternFill>
          <bgColor theme="4" tint="0.39994506668294322"/>
        </patternFill>
      </fill>
    </dxf>
    <dxf>
      <font>
        <color theme="4" tint="0.39994506668294322"/>
      </font>
      <fill>
        <patternFill>
          <bgColor theme="4" tint="0.39994506668294322"/>
        </patternFill>
      </fill>
    </dxf>
    <dxf>
      <font>
        <color theme="4" tint="0.79998168889431442"/>
      </font>
      <fill>
        <patternFill>
          <bgColor theme="4" tint="0.79998168889431442"/>
        </patternFill>
      </fill>
    </dxf>
    <dxf>
      <font>
        <color theme="4" tint="0.39994506668294322"/>
      </font>
      <fill>
        <patternFill>
          <bgColor theme="4" tint="0.39994506668294322"/>
        </patternFill>
      </fill>
    </dxf>
    <dxf>
      <font>
        <color theme="4" tint="0.79998168889431442"/>
      </font>
      <fill>
        <patternFill>
          <bgColor theme="4" tint="0.79998168889431442"/>
        </patternFill>
      </fill>
    </dxf>
    <dxf>
      <font>
        <color theme="4" tint="0.39994506668294322"/>
      </font>
      <fill>
        <patternFill>
          <bgColor theme="4" tint="0.39994506668294322"/>
        </patternFill>
      </fill>
    </dxf>
    <dxf>
      <font>
        <color theme="4" tint="-0.24994659260841701"/>
      </font>
      <fill>
        <patternFill>
          <bgColor theme="4" tint="-0.24994659260841701"/>
        </patternFill>
      </fill>
    </dxf>
    <dxf>
      <font>
        <color theme="9" tint="0.79998168889431442"/>
      </font>
      <fill>
        <patternFill>
          <bgColor theme="9" tint="-0.24994659260841701"/>
        </patternFill>
      </fill>
    </dxf>
    <dxf>
      <font>
        <color rgb="FF9C6500"/>
      </font>
      <fill>
        <patternFill>
          <bgColor rgb="FFFFEB9C"/>
        </patternFill>
      </fill>
    </dxf>
    <dxf>
      <font>
        <color rgb="FF9C0006"/>
      </font>
      <fill>
        <patternFill>
          <bgColor rgb="FFFFC7CE"/>
        </patternFill>
      </fill>
    </dxf>
    <dxf>
      <font>
        <color theme="9" tint="0.79998168889431442"/>
      </font>
      <fill>
        <patternFill>
          <bgColor theme="9" tint="-0.24994659260841701"/>
        </patternFill>
      </fill>
    </dxf>
    <dxf>
      <font>
        <color rgb="FF9C65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94"/>
  <sheetViews>
    <sheetView zoomScaleNormal="100" workbookViewId="0">
      <selection activeCell="G5" sqref="G5"/>
    </sheetView>
  </sheetViews>
  <sheetFormatPr baseColWidth="10" defaultColWidth="8.83203125" defaultRowHeight="15"/>
  <cols>
    <col min="1" max="1" width="3.6640625" customWidth="1"/>
    <col min="2" max="2" width="6.6640625" customWidth="1"/>
    <col min="3" max="3" width="12.6640625" customWidth="1"/>
    <col min="4" max="4" width="11" bestFit="1" customWidth="1"/>
    <col min="5" max="5" width="13.6640625" customWidth="1"/>
    <col min="6" max="6" width="20.1640625" customWidth="1"/>
  </cols>
  <sheetData>
    <row r="2" spans="2:6">
      <c r="B2" s="13" t="s">
        <v>47</v>
      </c>
    </row>
    <row r="4" spans="2:6">
      <c r="B4" s="15" t="s">
        <v>48</v>
      </c>
      <c r="C4" s="15" t="s">
        <v>49</v>
      </c>
      <c r="D4" s="15" t="s">
        <v>50</v>
      </c>
      <c r="E4" s="15" t="s">
        <v>116</v>
      </c>
      <c r="F4" s="15" t="s">
        <v>117</v>
      </c>
    </row>
    <row r="5" spans="2:6">
      <c r="B5" s="118">
        <v>1</v>
      </c>
      <c r="C5" s="16">
        <v>44726</v>
      </c>
      <c r="D5" s="119" t="s">
        <v>118</v>
      </c>
      <c r="E5" s="119" t="s">
        <v>80</v>
      </c>
      <c r="F5" s="118" t="s">
        <v>119</v>
      </c>
    </row>
    <row r="6" spans="2:6">
      <c r="B6" s="118">
        <v>2</v>
      </c>
      <c r="C6" s="14"/>
      <c r="D6" s="120"/>
      <c r="E6" s="120"/>
      <c r="F6" s="118"/>
    </row>
    <row r="7" spans="2:6">
      <c r="B7" s="118">
        <v>3</v>
      </c>
      <c r="C7" s="14"/>
      <c r="D7" s="120"/>
      <c r="E7" s="120"/>
      <c r="F7" s="118"/>
    </row>
    <row r="8" spans="2:6">
      <c r="B8" s="118">
        <v>4</v>
      </c>
      <c r="C8" s="14"/>
      <c r="D8" s="120"/>
      <c r="E8" s="120"/>
      <c r="F8" s="118"/>
    </row>
    <row r="9" spans="2:6">
      <c r="B9" s="118">
        <v>5</v>
      </c>
      <c r="C9" s="14"/>
      <c r="D9" s="120"/>
      <c r="E9" s="120"/>
      <c r="F9" s="118"/>
    </row>
    <row r="10" spans="2:6">
      <c r="B10" s="118">
        <v>6</v>
      </c>
      <c r="C10" s="14"/>
      <c r="D10" s="120"/>
      <c r="E10" s="120"/>
      <c r="F10" s="118"/>
    </row>
    <row r="11" spans="2:6">
      <c r="B11" s="118">
        <v>7</v>
      </c>
      <c r="C11" s="14"/>
      <c r="D11" s="120"/>
      <c r="E11" s="120"/>
      <c r="F11" s="118"/>
    </row>
    <row r="12" spans="2:6">
      <c r="B12" s="118">
        <v>8</v>
      </c>
      <c r="C12" s="14"/>
      <c r="D12" s="120"/>
      <c r="E12" s="120"/>
      <c r="F12" s="118"/>
    </row>
    <row r="13" spans="2:6">
      <c r="B13" s="118">
        <v>9</v>
      </c>
      <c r="C13" s="14"/>
      <c r="D13" s="118"/>
      <c r="E13" s="118"/>
      <c r="F13" s="118"/>
    </row>
    <row r="14" spans="2:6">
      <c r="B14" s="118">
        <v>10</v>
      </c>
      <c r="C14" s="14"/>
      <c r="D14" s="118"/>
      <c r="E14" s="118"/>
      <c r="F14" s="118"/>
    </row>
    <row r="15" spans="2:6">
      <c r="B15" s="118">
        <v>11</v>
      </c>
      <c r="C15" s="14"/>
      <c r="D15" s="118"/>
      <c r="E15" s="118"/>
      <c r="F15" s="118"/>
    </row>
    <row r="16" spans="2:6">
      <c r="B16" s="118">
        <v>12</v>
      </c>
      <c r="C16" s="14"/>
      <c r="D16" s="14"/>
      <c r="E16" s="14"/>
      <c r="F16" s="118"/>
    </row>
    <row r="17" spans="2:6">
      <c r="B17" s="118">
        <v>13</v>
      </c>
      <c r="C17" s="14"/>
      <c r="D17" s="118"/>
      <c r="E17" s="118"/>
      <c r="F17" s="118"/>
    </row>
    <row r="18" spans="2:6">
      <c r="B18" s="118">
        <v>14</v>
      </c>
      <c r="C18" s="14"/>
      <c r="D18" s="118"/>
      <c r="E18" s="118"/>
      <c r="F18" s="118"/>
    </row>
    <row r="19" spans="2:6">
      <c r="B19" s="118">
        <v>15</v>
      </c>
      <c r="C19" s="14"/>
      <c r="D19" s="118"/>
      <c r="E19" s="118"/>
      <c r="F19" s="118"/>
    </row>
    <row r="20" spans="2:6">
      <c r="B20" s="118">
        <v>16</v>
      </c>
      <c r="C20" s="14"/>
      <c r="D20" s="118"/>
      <c r="E20" s="118"/>
      <c r="F20" s="118"/>
    </row>
    <row r="21" spans="2:6">
      <c r="B21" s="118">
        <v>17</v>
      </c>
      <c r="C21" s="14"/>
      <c r="D21" s="118"/>
      <c r="E21" s="118"/>
      <c r="F21" s="118"/>
    </row>
    <row r="22" spans="2:6">
      <c r="B22" s="118">
        <v>18</v>
      </c>
      <c r="C22" s="14"/>
      <c r="D22" s="118"/>
      <c r="E22" s="118"/>
      <c r="F22" s="118"/>
    </row>
    <row r="23" spans="2:6">
      <c r="B23" s="118">
        <v>19</v>
      </c>
      <c r="C23" s="14"/>
      <c r="D23" s="118"/>
      <c r="E23" s="118"/>
      <c r="F23" s="118"/>
    </row>
    <row r="24" spans="2:6">
      <c r="B24" s="118">
        <v>20</v>
      </c>
      <c r="C24" s="14"/>
      <c r="D24" s="118"/>
      <c r="E24" s="118"/>
      <c r="F24" s="118"/>
    </row>
    <row r="25" spans="2:6">
      <c r="B25" s="118">
        <v>21</v>
      </c>
      <c r="C25" s="14"/>
      <c r="D25" s="118"/>
      <c r="E25" s="118"/>
      <c r="F25" s="118"/>
    </row>
    <row r="26" spans="2:6">
      <c r="B26" s="118">
        <v>22</v>
      </c>
      <c r="C26" s="14"/>
      <c r="D26" s="118"/>
      <c r="E26" s="118"/>
      <c r="F26" s="118"/>
    </row>
    <row r="27" spans="2:6">
      <c r="B27" s="118">
        <v>23</v>
      </c>
      <c r="C27" s="14"/>
      <c r="D27" s="118"/>
      <c r="E27" s="118"/>
      <c r="F27" s="118"/>
    </row>
    <row r="28" spans="2:6">
      <c r="B28" s="118">
        <v>24</v>
      </c>
      <c r="C28" s="14"/>
      <c r="D28" s="118"/>
      <c r="E28" s="118"/>
      <c r="F28" s="118"/>
    </row>
    <row r="29" spans="2:6">
      <c r="B29" s="118">
        <v>25</v>
      </c>
      <c r="C29" s="14"/>
      <c r="D29" s="118"/>
      <c r="E29" s="118"/>
      <c r="F29" s="118"/>
    </row>
    <row r="30" spans="2:6">
      <c r="C30" s="7"/>
    </row>
    <row r="31" spans="2:6">
      <c r="C31" s="7"/>
    </row>
    <row r="32" spans="2:6">
      <c r="C32" s="7"/>
    </row>
    <row r="33" spans="3:3">
      <c r="C33" s="7"/>
    </row>
    <row r="34" spans="3:3">
      <c r="C34" s="7"/>
    </row>
    <row r="35" spans="3:3">
      <c r="C35" s="7"/>
    </row>
    <row r="36" spans="3:3">
      <c r="C36" s="7"/>
    </row>
    <row r="37" spans="3:3">
      <c r="C37" s="7"/>
    </row>
    <row r="38" spans="3:3">
      <c r="C38" s="7"/>
    </row>
    <row r="39" spans="3:3">
      <c r="C39" s="7"/>
    </row>
    <row r="40" spans="3:3">
      <c r="C40" s="7"/>
    </row>
    <row r="41" spans="3:3">
      <c r="C41" s="7"/>
    </row>
    <row r="42" spans="3:3">
      <c r="C42" s="7"/>
    </row>
    <row r="43" spans="3:3">
      <c r="C43" s="7"/>
    </row>
    <row r="44" spans="3:3">
      <c r="C44" s="7"/>
    </row>
    <row r="45" spans="3:3">
      <c r="C45" s="7"/>
    </row>
    <row r="46" spans="3:3">
      <c r="C46" s="7"/>
    </row>
    <row r="47" spans="3:3">
      <c r="C47" s="7"/>
    </row>
    <row r="48" spans="3:3">
      <c r="C48" s="7"/>
    </row>
    <row r="49" spans="3:3">
      <c r="C49" s="7"/>
    </row>
    <row r="50" spans="3:3">
      <c r="C50" s="7"/>
    </row>
    <row r="51" spans="3:3">
      <c r="C51" s="7"/>
    </row>
    <row r="52" spans="3:3">
      <c r="C52" s="7"/>
    </row>
    <row r="53" spans="3:3">
      <c r="C53" s="7"/>
    </row>
    <row r="54" spans="3:3">
      <c r="C54" s="7"/>
    </row>
    <row r="55" spans="3:3">
      <c r="C55" s="7"/>
    </row>
    <row r="56" spans="3:3">
      <c r="C56" s="7"/>
    </row>
    <row r="57" spans="3:3">
      <c r="C57" s="7"/>
    </row>
    <row r="58" spans="3:3">
      <c r="C58" s="7"/>
    </row>
    <row r="59" spans="3:3">
      <c r="C59" s="7"/>
    </row>
    <row r="60" spans="3:3">
      <c r="C60" s="7"/>
    </row>
    <row r="61" spans="3:3">
      <c r="C61" s="7"/>
    </row>
    <row r="62" spans="3:3">
      <c r="C62" s="7"/>
    </row>
    <row r="63" spans="3:3">
      <c r="C63" s="7"/>
    </row>
    <row r="64" spans="3:3">
      <c r="C64" s="7"/>
    </row>
    <row r="65" spans="3:3">
      <c r="C65" s="7"/>
    </row>
    <row r="66" spans="3:3">
      <c r="C66" s="7"/>
    </row>
    <row r="67" spans="3:3">
      <c r="C67" s="7"/>
    </row>
    <row r="68" spans="3:3">
      <c r="C68" s="7"/>
    </row>
    <row r="69" spans="3:3">
      <c r="C69" s="7"/>
    </row>
    <row r="70" spans="3:3">
      <c r="C70" s="7"/>
    </row>
    <row r="71" spans="3:3">
      <c r="C71" s="7"/>
    </row>
    <row r="72" spans="3:3">
      <c r="C72" s="7"/>
    </row>
    <row r="73" spans="3:3">
      <c r="C73" s="7"/>
    </row>
    <row r="74" spans="3:3">
      <c r="C74" s="7"/>
    </row>
    <row r="75" spans="3:3">
      <c r="C75" s="7"/>
    </row>
    <row r="76" spans="3:3">
      <c r="C76" s="7"/>
    </row>
    <row r="77" spans="3:3">
      <c r="C77" s="7"/>
    </row>
    <row r="78" spans="3:3">
      <c r="C78" s="7"/>
    </row>
    <row r="79" spans="3:3">
      <c r="C79" s="7"/>
    </row>
    <row r="80" spans="3:3">
      <c r="C80" s="7"/>
    </row>
    <row r="81" spans="3:3">
      <c r="C81" s="7"/>
    </row>
    <row r="82" spans="3:3">
      <c r="C82" s="7"/>
    </row>
    <row r="83" spans="3:3">
      <c r="C83" s="7"/>
    </row>
    <row r="84" spans="3:3">
      <c r="C84" s="7"/>
    </row>
    <row r="85" spans="3:3">
      <c r="C85" s="7"/>
    </row>
    <row r="86" spans="3:3">
      <c r="C86" s="7"/>
    </row>
    <row r="87" spans="3:3">
      <c r="C87" s="7"/>
    </row>
    <row r="88" spans="3:3">
      <c r="C88" s="7"/>
    </row>
    <row r="89" spans="3:3">
      <c r="C89" s="7"/>
    </row>
    <row r="90" spans="3:3">
      <c r="C90" s="7"/>
    </row>
    <row r="91" spans="3:3">
      <c r="C91" s="7"/>
    </row>
    <row r="92" spans="3:3">
      <c r="C92" s="7"/>
    </row>
    <row r="93" spans="3:3">
      <c r="C93" s="7"/>
    </row>
    <row r="94" spans="3:3">
      <c r="C94" s="7"/>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N34"/>
  <sheetViews>
    <sheetView tabSelected="1" zoomScaleNormal="100" workbookViewId="0">
      <selection activeCell="F10" sqref="F10"/>
    </sheetView>
  </sheetViews>
  <sheetFormatPr baseColWidth="10" defaultColWidth="8.83203125" defaultRowHeight="15"/>
  <cols>
    <col min="1" max="1" width="2.5" style="1" customWidth="1"/>
    <col min="2" max="2" width="6.6640625" style="1" customWidth="1"/>
    <col min="3" max="3" width="2.33203125" style="12" bestFit="1" customWidth="1"/>
    <col min="4" max="4" width="5.1640625" style="3" customWidth="1"/>
    <col min="5" max="5" width="4.1640625" style="62" bestFit="1" customWidth="1"/>
    <col min="6" max="6" width="61.6640625" style="36" customWidth="1"/>
    <col min="7" max="7" width="9.6640625" style="18" bestFit="1" customWidth="1"/>
    <col min="8" max="8" width="9.1640625" style="18" customWidth="1"/>
    <col min="9" max="9" width="7.33203125" style="4" bestFit="1" customWidth="1"/>
    <col min="10" max="10" width="16.6640625" style="4" bestFit="1" customWidth="1"/>
    <col min="11" max="11" width="6.33203125" style="4" customWidth="1"/>
    <col min="12" max="12" width="16.6640625" style="4" bestFit="1" customWidth="1"/>
    <col min="13" max="13" width="10.6640625" style="4" customWidth="1"/>
    <col min="14" max="65" width="2.33203125" customWidth="1"/>
    <col min="66" max="66" width="19.83203125" style="1" customWidth="1"/>
  </cols>
  <sheetData>
    <row r="1" spans="1:66" ht="16">
      <c r="A1" s="9" t="s">
        <v>120</v>
      </c>
      <c r="H1" s="128"/>
      <c r="I1" s="129"/>
      <c r="J1" s="17" t="s">
        <v>76</v>
      </c>
      <c r="K1" s="18"/>
      <c r="L1" s="18"/>
      <c r="M1" s="18"/>
    </row>
    <row r="2" spans="1:66" ht="6.75" customHeight="1">
      <c r="A2" s="2"/>
      <c r="G2" s="2"/>
      <c r="H2" s="2"/>
    </row>
    <row r="3" spans="1:66" ht="16.5" customHeight="1">
      <c r="A3" s="2"/>
      <c r="B3" s="130" t="s">
        <v>46</v>
      </c>
      <c r="C3" s="133" t="s">
        <v>0</v>
      </c>
      <c r="D3" s="134"/>
      <c r="E3" s="134"/>
      <c r="F3" s="135"/>
      <c r="G3" s="133" t="s">
        <v>69</v>
      </c>
      <c r="H3" s="134"/>
      <c r="I3" s="142"/>
      <c r="J3" s="146" t="s">
        <v>68</v>
      </c>
      <c r="K3" s="149" t="s">
        <v>51</v>
      </c>
      <c r="L3" s="152" t="s">
        <v>78</v>
      </c>
      <c r="M3" s="152" t="s">
        <v>74</v>
      </c>
      <c r="N3" s="125"/>
      <c r="O3" s="125"/>
      <c r="P3" s="125"/>
      <c r="Q3" s="125"/>
      <c r="R3" s="125"/>
      <c r="S3" s="125"/>
      <c r="T3" s="125"/>
      <c r="U3" s="125"/>
      <c r="V3" s="125"/>
      <c r="W3" s="125"/>
      <c r="X3" s="125"/>
      <c r="Y3" s="125"/>
      <c r="Z3" s="125"/>
      <c r="AA3" s="125"/>
      <c r="AB3" s="125"/>
      <c r="AC3" s="125"/>
      <c r="AD3" s="125"/>
      <c r="AE3" s="125"/>
      <c r="AF3" s="125"/>
      <c r="AG3" s="125"/>
      <c r="AH3" s="125"/>
      <c r="AI3" s="125"/>
      <c r="AJ3" s="125"/>
      <c r="AK3" s="125"/>
      <c r="AL3" s="125"/>
      <c r="AM3" s="125"/>
      <c r="AN3" s="125"/>
      <c r="AO3" s="125"/>
      <c r="AP3" s="125"/>
      <c r="AQ3" s="125"/>
      <c r="AR3" s="125"/>
      <c r="AS3" s="125"/>
      <c r="AT3" s="125"/>
      <c r="AU3" s="125"/>
      <c r="AV3" s="125"/>
      <c r="AW3" s="125"/>
      <c r="AX3" s="125"/>
      <c r="AY3" s="125"/>
      <c r="AZ3" s="125"/>
      <c r="BA3" s="125"/>
      <c r="BB3" s="125"/>
      <c r="BC3" s="125"/>
      <c r="BD3" s="125"/>
      <c r="BE3" s="125"/>
      <c r="BF3" s="125"/>
      <c r="BG3" s="125"/>
      <c r="BH3" s="125"/>
      <c r="BI3" s="125"/>
      <c r="BJ3" s="125"/>
      <c r="BK3" s="125"/>
      <c r="BL3" s="125"/>
      <c r="BM3" s="126"/>
      <c r="BN3" s="121" t="s">
        <v>75</v>
      </c>
    </row>
    <row r="4" spans="1:66" ht="16.5" customHeight="1">
      <c r="A4" s="2"/>
      <c r="B4" s="131"/>
      <c r="C4" s="136"/>
      <c r="D4" s="137"/>
      <c r="E4" s="137"/>
      <c r="F4" s="138"/>
      <c r="G4" s="143"/>
      <c r="H4" s="144"/>
      <c r="I4" s="145"/>
      <c r="J4" s="147"/>
      <c r="K4" s="150"/>
      <c r="L4" s="153"/>
      <c r="M4" s="153"/>
      <c r="N4" s="124" t="s">
        <v>71</v>
      </c>
      <c r="O4" s="124"/>
      <c r="P4" s="124"/>
      <c r="Q4" s="124"/>
      <c r="R4" s="124" t="s">
        <v>54</v>
      </c>
      <c r="S4" s="124"/>
      <c r="T4" s="124"/>
      <c r="U4" s="124"/>
      <c r="V4" s="124" t="s">
        <v>55</v>
      </c>
      <c r="W4" s="124"/>
      <c r="X4" s="124"/>
      <c r="Y4" s="124"/>
      <c r="Z4" s="124"/>
      <c r="AA4" s="124" t="s">
        <v>73</v>
      </c>
      <c r="AB4" s="124"/>
      <c r="AC4" s="124"/>
      <c r="AD4" s="124"/>
      <c r="AE4" s="124" t="s">
        <v>56</v>
      </c>
      <c r="AF4" s="124"/>
      <c r="AG4" s="124"/>
      <c r="AH4" s="124"/>
      <c r="AI4" s="124"/>
      <c r="AJ4" s="124" t="s">
        <v>79</v>
      </c>
      <c r="AK4" s="124"/>
      <c r="AL4" s="124"/>
      <c r="AM4" s="124"/>
      <c r="AN4" s="124" t="s">
        <v>72</v>
      </c>
      <c r="AO4" s="124"/>
      <c r="AP4" s="124"/>
      <c r="AQ4" s="124"/>
      <c r="AR4" s="127" t="s">
        <v>57</v>
      </c>
      <c r="AS4" s="127"/>
      <c r="AT4" s="127"/>
      <c r="AU4" s="127"/>
      <c r="AV4" s="127"/>
      <c r="AW4" s="124" t="s">
        <v>113</v>
      </c>
      <c r="AX4" s="124"/>
      <c r="AY4" s="124"/>
      <c r="AZ4" s="124"/>
      <c r="BA4" s="124" t="s">
        <v>52</v>
      </c>
      <c r="BB4" s="124"/>
      <c r="BC4" s="124"/>
      <c r="BD4" s="124"/>
      <c r="BE4" s="127" t="s">
        <v>53</v>
      </c>
      <c r="BF4" s="127"/>
      <c r="BG4" s="127"/>
      <c r="BH4" s="127"/>
      <c r="BI4" s="127"/>
      <c r="BJ4" s="124" t="s">
        <v>114</v>
      </c>
      <c r="BK4" s="124"/>
      <c r="BL4" s="124"/>
      <c r="BM4" s="124"/>
      <c r="BN4" s="122"/>
    </row>
    <row r="5" spans="1:66" ht="30">
      <c r="A5" s="2"/>
      <c r="B5" s="132"/>
      <c r="C5" s="139"/>
      <c r="D5" s="140"/>
      <c r="E5" s="140"/>
      <c r="F5" s="141"/>
      <c r="G5" s="19" t="s">
        <v>44</v>
      </c>
      <c r="H5" s="19" t="s">
        <v>45</v>
      </c>
      <c r="I5" s="10" t="s">
        <v>70</v>
      </c>
      <c r="J5" s="148"/>
      <c r="K5" s="151"/>
      <c r="L5" s="154"/>
      <c r="M5" s="154"/>
      <c r="N5" s="91" t="s">
        <v>58</v>
      </c>
      <c r="O5" s="92" t="s">
        <v>59</v>
      </c>
      <c r="P5" s="92" t="s">
        <v>60</v>
      </c>
      <c r="Q5" s="93" t="s">
        <v>61</v>
      </c>
      <c r="R5" s="91" t="s">
        <v>62</v>
      </c>
      <c r="S5" s="92" t="s">
        <v>63</v>
      </c>
      <c r="T5" s="92" t="s">
        <v>64</v>
      </c>
      <c r="U5" s="93" t="s">
        <v>65</v>
      </c>
      <c r="V5" s="91" t="s">
        <v>66</v>
      </c>
      <c r="W5" s="92" t="s">
        <v>1</v>
      </c>
      <c r="X5" s="92" t="s">
        <v>2</v>
      </c>
      <c r="Y5" s="92" t="s">
        <v>3</v>
      </c>
      <c r="Z5" s="93" t="s">
        <v>4</v>
      </c>
      <c r="AA5" s="91" t="s">
        <v>5</v>
      </c>
      <c r="AB5" s="92" t="s">
        <v>6</v>
      </c>
      <c r="AC5" s="92" t="s">
        <v>7</v>
      </c>
      <c r="AD5" s="93" t="s">
        <v>8</v>
      </c>
      <c r="AE5" s="91" t="s">
        <v>9</v>
      </c>
      <c r="AF5" s="92" t="s">
        <v>10</v>
      </c>
      <c r="AG5" s="92" t="s">
        <v>11</v>
      </c>
      <c r="AH5" s="92" t="s">
        <v>12</v>
      </c>
      <c r="AI5" s="93" t="s">
        <v>13</v>
      </c>
      <c r="AJ5" s="92" t="s">
        <v>14</v>
      </c>
      <c r="AK5" s="92" t="s">
        <v>15</v>
      </c>
      <c r="AL5" s="92" t="s">
        <v>16</v>
      </c>
      <c r="AM5" s="93" t="s">
        <v>17</v>
      </c>
      <c r="AN5" s="91" t="s">
        <v>18</v>
      </c>
      <c r="AO5" s="92" t="s">
        <v>19</v>
      </c>
      <c r="AP5" s="92" t="s">
        <v>20</v>
      </c>
      <c r="AQ5" s="92" t="s">
        <v>21</v>
      </c>
      <c r="AR5" s="43" t="s">
        <v>22</v>
      </c>
      <c r="AS5" s="44" t="s">
        <v>23</v>
      </c>
      <c r="AT5" s="44" t="s">
        <v>24</v>
      </c>
      <c r="AU5" s="44" t="s">
        <v>25</v>
      </c>
      <c r="AV5" s="45" t="s">
        <v>26</v>
      </c>
      <c r="AW5" s="92" t="s">
        <v>27</v>
      </c>
      <c r="AX5" s="92" t="s">
        <v>28</v>
      </c>
      <c r="AY5" s="92" t="s">
        <v>29</v>
      </c>
      <c r="AZ5" s="93" t="s">
        <v>30</v>
      </c>
      <c r="BA5" s="91" t="s">
        <v>31</v>
      </c>
      <c r="BB5" s="92" t="s">
        <v>32</v>
      </c>
      <c r="BC5" s="92" t="s">
        <v>33</v>
      </c>
      <c r="BD5" s="92" t="s">
        <v>34</v>
      </c>
      <c r="BE5" s="43" t="s">
        <v>35</v>
      </c>
      <c r="BF5" s="44" t="s">
        <v>36</v>
      </c>
      <c r="BG5" s="44" t="s">
        <v>37</v>
      </c>
      <c r="BH5" s="110" t="s">
        <v>38</v>
      </c>
      <c r="BI5" s="45" t="s">
        <v>39</v>
      </c>
      <c r="BJ5" s="92" t="s">
        <v>40</v>
      </c>
      <c r="BK5" s="92" t="s">
        <v>41</v>
      </c>
      <c r="BL5" s="92" t="s">
        <v>42</v>
      </c>
      <c r="BM5" s="93" t="s">
        <v>43</v>
      </c>
      <c r="BN5" s="123"/>
    </row>
    <row r="6" spans="1:66" ht="30.5" customHeight="1">
      <c r="A6" s="2"/>
      <c r="B6" s="39" t="s">
        <v>125</v>
      </c>
      <c r="C6" s="21"/>
      <c r="D6" s="20"/>
      <c r="E6" s="21"/>
      <c r="F6" s="20"/>
      <c r="G6" s="22">
        <v>46119</v>
      </c>
      <c r="H6" s="22">
        <v>46135</v>
      </c>
      <c r="I6" s="23">
        <f>NETWORKDAYS(G6,H6)</f>
        <v>13</v>
      </c>
      <c r="J6" s="24">
        <f>(SUMIF(J7:J23,"완료",K7:K23)+(SUMIF(J7:J23,"진행중",K7:K23)/2)+(SUMIF(J7:J23,"지연중",K7:K23)/2))/SUM(K7:K23)</f>
        <v>0</v>
      </c>
      <c r="K6" s="25">
        <f>SUM(K7:K27)</f>
        <v>37</v>
      </c>
      <c r="L6" s="26"/>
      <c r="M6" s="46"/>
      <c r="N6" s="5">
        <v>44564</v>
      </c>
      <c r="O6" s="64">
        <v>44572</v>
      </c>
      <c r="P6" s="5">
        <v>44579</v>
      </c>
      <c r="Q6" s="66">
        <v>44586</v>
      </c>
      <c r="R6" s="5">
        <v>44593</v>
      </c>
      <c r="S6" s="67">
        <v>44600</v>
      </c>
      <c r="T6" s="5">
        <v>44607</v>
      </c>
      <c r="U6" s="6">
        <v>44614</v>
      </c>
      <c r="V6" s="5">
        <v>44621</v>
      </c>
      <c r="W6" s="5">
        <v>44628</v>
      </c>
      <c r="X6" s="68">
        <v>44635</v>
      </c>
      <c r="Y6" s="70">
        <v>44642</v>
      </c>
      <c r="Z6" s="71">
        <v>44649</v>
      </c>
      <c r="AA6" s="72">
        <v>44656</v>
      </c>
      <c r="AB6" s="73">
        <v>44663</v>
      </c>
      <c r="AC6" s="74">
        <v>44670</v>
      </c>
      <c r="AD6" s="75">
        <v>44677</v>
      </c>
      <c r="AE6" s="76">
        <v>44684</v>
      </c>
      <c r="AF6" s="77">
        <v>44691</v>
      </c>
      <c r="AG6" s="78">
        <v>44698</v>
      </c>
      <c r="AH6" s="79">
        <v>44705</v>
      </c>
      <c r="AI6" s="80">
        <v>44712</v>
      </c>
      <c r="AJ6" s="5">
        <v>44719</v>
      </c>
      <c r="AK6" s="81">
        <v>44726</v>
      </c>
      <c r="AL6" s="82">
        <v>44733</v>
      </c>
      <c r="AM6" s="83">
        <v>44740</v>
      </c>
      <c r="AN6" s="72">
        <v>44747</v>
      </c>
      <c r="AO6" s="73">
        <v>44754</v>
      </c>
      <c r="AP6" s="74">
        <v>44761</v>
      </c>
      <c r="AQ6" s="94">
        <v>44768</v>
      </c>
      <c r="AR6" s="101">
        <v>44775</v>
      </c>
      <c r="AS6" s="102">
        <v>44782</v>
      </c>
      <c r="AT6" s="103">
        <v>44789</v>
      </c>
      <c r="AU6" s="104">
        <v>44796</v>
      </c>
      <c r="AV6" s="105">
        <v>44803</v>
      </c>
      <c r="AW6" s="86">
        <v>44810</v>
      </c>
      <c r="AX6" s="5">
        <v>44817</v>
      </c>
      <c r="AY6" s="87">
        <v>44824</v>
      </c>
      <c r="AZ6" s="88">
        <v>44831</v>
      </c>
      <c r="BA6" s="8">
        <v>44838</v>
      </c>
      <c r="BB6" s="5">
        <v>44845</v>
      </c>
      <c r="BC6" s="65">
        <v>44852</v>
      </c>
      <c r="BD6" s="109">
        <v>44859</v>
      </c>
      <c r="BE6" s="111">
        <v>44866</v>
      </c>
      <c r="BF6" s="67">
        <v>44873</v>
      </c>
      <c r="BG6" s="68">
        <v>44880</v>
      </c>
      <c r="BH6" s="108">
        <v>44887</v>
      </c>
      <c r="BI6" s="112">
        <v>44894</v>
      </c>
      <c r="BJ6" s="86">
        <v>44901</v>
      </c>
      <c r="BK6" s="89">
        <v>44908</v>
      </c>
      <c r="BL6" s="87">
        <v>44915</v>
      </c>
      <c r="BM6" s="90">
        <v>44922</v>
      </c>
      <c r="BN6" s="11"/>
    </row>
    <row r="7" spans="1:66" ht="15.75" customHeight="1">
      <c r="A7" s="2"/>
      <c r="B7" s="27"/>
      <c r="C7" s="40">
        <v>1</v>
      </c>
      <c r="D7" s="28" t="s">
        <v>129</v>
      </c>
      <c r="E7" s="41"/>
      <c r="F7" s="29"/>
      <c r="G7" s="30">
        <v>44622</v>
      </c>
      <c r="H7" s="30">
        <v>44712</v>
      </c>
      <c r="I7" s="31">
        <f t="shared" ref="I7:I9" si="0">NETWORKDAYS(G7,H7)</f>
        <v>65</v>
      </c>
      <c r="J7" s="32"/>
      <c r="K7" s="33"/>
      <c r="L7" s="34"/>
      <c r="M7" s="35"/>
      <c r="N7" s="5">
        <v>44564</v>
      </c>
      <c r="O7" s="64">
        <v>44572</v>
      </c>
      <c r="P7" s="5">
        <v>44579</v>
      </c>
      <c r="Q7" s="66">
        <v>44586</v>
      </c>
      <c r="R7" s="5">
        <v>44593</v>
      </c>
      <c r="S7" s="67">
        <v>44600</v>
      </c>
      <c r="T7" s="5">
        <v>44607</v>
      </c>
      <c r="U7" s="6">
        <v>44614</v>
      </c>
      <c r="V7" s="5">
        <v>44621</v>
      </c>
      <c r="W7" s="5">
        <v>44628</v>
      </c>
      <c r="X7" s="68">
        <v>44635</v>
      </c>
      <c r="Y7" s="70">
        <v>44642</v>
      </c>
      <c r="Z7" s="71">
        <v>44649</v>
      </c>
      <c r="AA7" s="72">
        <v>44656</v>
      </c>
      <c r="AB7" s="73">
        <v>44663</v>
      </c>
      <c r="AC7" s="74">
        <v>44670</v>
      </c>
      <c r="AD7" s="75">
        <v>44677</v>
      </c>
      <c r="AE7" s="76">
        <v>44684</v>
      </c>
      <c r="AF7" s="77">
        <v>44691</v>
      </c>
      <c r="AG7" s="78">
        <v>44698</v>
      </c>
      <c r="AH7" s="79">
        <v>44705</v>
      </c>
      <c r="AI7" s="80">
        <v>44712</v>
      </c>
      <c r="AJ7" s="5">
        <v>44719</v>
      </c>
      <c r="AK7" s="81">
        <v>44726</v>
      </c>
      <c r="AL7" s="82">
        <v>44733</v>
      </c>
      <c r="AM7" s="83">
        <v>44740</v>
      </c>
      <c r="AN7" s="72">
        <v>44747</v>
      </c>
      <c r="AO7" s="73">
        <v>44754</v>
      </c>
      <c r="AP7" s="74">
        <v>44761</v>
      </c>
      <c r="AQ7" s="94">
        <v>44768</v>
      </c>
      <c r="AR7" s="95">
        <v>44775</v>
      </c>
      <c r="AS7" s="84">
        <v>44782</v>
      </c>
      <c r="AT7" s="85">
        <v>44789</v>
      </c>
      <c r="AU7" s="96">
        <v>44796</v>
      </c>
      <c r="AV7" s="106">
        <v>44803</v>
      </c>
      <c r="AW7" s="86">
        <v>44810</v>
      </c>
      <c r="AX7" s="5">
        <v>44817</v>
      </c>
      <c r="AY7" s="87">
        <v>44824</v>
      </c>
      <c r="AZ7" s="88">
        <v>44831</v>
      </c>
      <c r="BA7" s="8">
        <v>44838</v>
      </c>
      <c r="BB7" s="5">
        <v>44845</v>
      </c>
      <c r="BC7" s="65">
        <v>44852</v>
      </c>
      <c r="BD7" s="109">
        <v>44859</v>
      </c>
      <c r="BE7" s="111">
        <v>44866</v>
      </c>
      <c r="BF7" s="67">
        <v>44873</v>
      </c>
      <c r="BG7" s="68">
        <v>44880</v>
      </c>
      <c r="BH7" s="108">
        <v>44887</v>
      </c>
      <c r="BI7" s="112">
        <v>44894</v>
      </c>
      <c r="BJ7" s="86">
        <v>44901</v>
      </c>
      <c r="BK7" s="89">
        <v>44908</v>
      </c>
      <c r="BL7" s="87">
        <v>44915</v>
      </c>
      <c r="BM7" s="90">
        <v>44922</v>
      </c>
      <c r="BN7" s="11"/>
    </row>
    <row r="8" spans="1:66" ht="68" customHeight="1">
      <c r="A8" s="2"/>
      <c r="B8" s="36"/>
      <c r="C8" s="42"/>
      <c r="D8" s="37"/>
      <c r="E8" s="42">
        <v>1.1000000000000001</v>
      </c>
      <c r="F8" s="38" t="s">
        <v>126</v>
      </c>
      <c r="G8" s="52">
        <v>44622</v>
      </c>
      <c r="H8" s="52">
        <v>44651</v>
      </c>
      <c r="I8" s="53">
        <f t="shared" si="0"/>
        <v>22</v>
      </c>
      <c r="J8" s="49" t="s">
        <v>77</v>
      </c>
      <c r="K8" s="54">
        <v>1</v>
      </c>
      <c r="L8" s="58" t="s">
        <v>105</v>
      </c>
      <c r="M8" s="58" t="s">
        <v>128</v>
      </c>
      <c r="N8" s="5">
        <v>44564</v>
      </c>
      <c r="O8" s="64">
        <v>44572</v>
      </c>
      <c r="P8" s="5">
        <v>44579</v>
      </c>
      <c r="Q8" s="66">
        <v>44586</v>
      </c>
      <c r="R8" s="5">
        <v>44593</v>
      </c>
      <c r="S8" s="67">
        <v>44600</v>
      </c>
      <c r="T8" s="68">
        <v>44607</v>
      </c>
      <c r="U8" s="69">
        <v>44614</v>
      </c>
      <c r="V8" s="5">
        <v>44621</v>
      </c>
      <c r="W8" s="5">
        <v>44628</v>
      </c>
      <c r="X8" s="68">
        <v>44635</v>
      </c>
      <c r="Y8" s="70">
        <v>44642</v>
      </c>
      <c r="Z8" s="71">
        <v>44649</v>
      </c>
      <c r="AA8" s="72">
        <v>44656</v>
      </c>
      <c r="AB8" s="73">
        <v>44663</v>
      </c>
      <c r="AC8" s="74">
        <v>44670</v>
      </c>
      <c r="AD8" s="75">
        <v>44677</v>
      </c>
      <c r="AE8" s="76">
        <v>44684</v>
      </c>
      <c r="AF8" s="77">
        <v>44691</v>
      </c>
      <c r="AG8" s="78">
        <v>44698</v>
      </c>
      <c r="AH8" s="79">
        <v>44705</v>
      </c>
      <c r="AI8" s="80">
        <v>44712</v>
      </c>
      <c r="AJ8" s="5">
        <v>44719</v>
      </c>
      <c r="AK8" s="81">
        <v>44726</v>
      </c>
      <c r="AL8" s="82">
        <v>44733</v>
      </c>
      <c r="AM8" s="83">
        <v>44740</v>
      </c>
      <c r="AN8" s="72">
        <v>44747</v>
      </c>
      <c r="AO8" s="73">
        <v>44754</v>
      </c>
      <c r="AP8" s="74">
        <v>44761</v>
      </c>
      <c r="AQ8" s="94">
        <v>44768</v>
      </c>
      <c r="AR8" s="95">
        <v>44775</v>
      </c>
      <c r="AS8" s="84">
        <v>44782</v>
      </c>
      <c r="AT8" s="85">
        <v>44789</v>
      </c>
      <c r="AU8" s="96">
        <v>44796</v>
      </c>
      <c r="AV8" s="106">
        <v>44803</v>
      </c>
      <c r="AW8" s="86">
        <v>44810</v>
      </c>
      <c r="AX8" s="5">
        <v>44817</v>
      </c>
      <c r="AY8" s="87">
        <v>44824</v>
      </c>
      <c r="AZ8" s="88">
        <v>44831</v>
      </c>
      <c r="BA8" s="8">
        <v>44838</v>
      </c>
      <c r="BB8" s="5">
        <v>44845</v>
      </c>
      <c r="BC8" s="65">
        <v>44852</v>
      </c>
      <c r="BD8" s="109">
        <v>44859</v>
      </c>
      <c r="BE8" s="111">
        <v>44866</v>
      </c>
      <c r="BF8" s="67">
        <v>44873</v>
      </c>
      <c r="BG8" s="68">
        <v>44880</v>
      </c>
      <c r="BH8" s="108">
        <v>44887</v>
      </c>
      <c r="BI8" s="112">
        <v>44894</v>
      </c>
      <c r="BJ8" s="86">
        <v>44901</v>
      </c>
      <c r="BK8" s="89">
        <v>44908</v>
      </c>
      <c r="BL8" s="87">
        <v>44915</v>
      </c>
      <c r="BM8" s="90">
        <v>44922</v>
      </c>
      <c r="BN8" s="11"/>
    </row>
    <row r="9" spans="1:66" ht="68.5" customHeight="1">
      <c r="A9" s="2"/>
      <c r="B9" s="36"/>
      <c r="C9" s="42"/>
      <c r="D9" s="37"/>
      <c r="E9" s="42">
        <v>1.2</v>
      </c>
      <c r="F9" s="38" t="s">
        <v>87</v>
      </c>
      <c r="G9" s="52">
        <v>44652</v>
      </c>
      <c r="H9" s="52">
        <v>44691</v>
      </c>
      <c r="I9" s="53">
        <f t="shared" si="0"/>
        <v>28</v>
      </c>
      <c r="J9" s="49" t="s">
        <v>77</v>
      </c>
      <c r="K9" s="54">
        <v>2</v>
      </c>
      <c r="L9" s="58" t="s">
        <v>106</v>
      </c>
      <c r="M9" s="58" t="s">
        <v>128</v>
      </c>
      <c r="N9" s="5">
        <v>44564</v>
      </c>
      <c r="O9" s="64">
        <v>44572</v>
      </c>
      <c r="P9" s="5">
        <v>44579</v>
      </c>
      <c r="Q9" s="66">
        <v>44586</v>
      </c>
      <c r="R9" s="5">
        <v>44593</v>
      </c>
      <c r="S9" s="67">
        <v>44600</v>
      </c>
      <c r="T9" s="68">
        <v>44607</v>
      </c>
      <c r="U9" s="69">
        <v>44614</v>
      </c>
      <c r="V9" s="5">
        <v>44621</v>
      </c>
      <c r="W9" s="5">
        <v>44628</v>
      </c>
      <c r="X9" s="68">
        <v>44635</v>
      </c>
      <c r="Y9" s="70">
        <v>44642</v>
      </c>
      <c r="Z9" s="71">
        <v>44649</v>
      </c>
      <c r="AA9" s="72">
        <v>44656</v>
      </c>
      <c r="AB9" s="73">
        <v>44663</v>
      </c>
      <c r="AC9" s="74">
        <v>44670</v>
      </c>
      <c r="AD9" s="75">
        <v>44677</v>
      </c>
      <c r="AE9" s="76">
        <v>44684</v>
      </c>
      <c r="AF9" s="77">
        <v>44691</v>
      </c>
      <c r="AG9" s="78">
        <v>44698</v>
      </c>
      <c r="AH9" s="79">
        <v>44705</v>
      </c>
      <c r="AI9" s="80">
        <v>44712</v>
      </c>
      <c r="AJ9" s="5">
        <v>44719</v>
      </c>
      <c r="AK9" s="81">
        <v>44726</v>
      </c>
      <c r="AL9" s="82">
        <v>44733</v>
      </c>
      <c r="AM9" s="83">
        <v>44740</v>
      </c>
      <c r="AN9" s="72">
        <v>44747</v>
      </c>
      <c r="AO9" s="73">
        <v>44754</v>
      </c>
      <c r="AP9" s="74">
        <v>44761</v>
      </c>
      <c r="AQ9" s="94">
        <v>44768</v>
      </c>
      <c r="AR9" s="95">
        <v>44775</v>
      </c>
      <c r="AS9" s="84">
        <v>44782</v>
      </c>
      <c r="AT9" s="85">
        <v>44789</v>
      </c>
      <c r="AU9" s="96">
        <v>44796</v>
      </c>
      <c r="AV9" s="106">
        <v>44803</v>
      </c>
      <c r="AW9" s="86">
        <v>44810</v>
      </c>
      <c r="AX9" s="5">
        <v>44817</v>
      </c>
      <c r="AY9" s="87">
        <v>44824</v>
      </c>
      <c r="AZ9" s="88">
        <v>44831</v>
      </c>
      <c r="BA9" s="8">
        <v>44838</v>
      </c>
      <c r="BB9" s="5">
        <v>44845</v>
      </c>
      <c r="BC9" s="65">
        <v>44852</v>
      </c>
      <c r="BD9" s="109">
        <v>44859</v>
      </c>
      <c r="BE9" s="111">
        <v>44866</v>
      </c>
      <c r="BF9" s="67">
        <v>44873</v>
      </c>
      <c r="BG9" s="68">
        <v>44880</v>
      </c>
      <c r="BH9" s="108">
        <v>44887</v>
      </c>
      <c r="BI9" s="112">
        <v>44894</v>
      </c>
      <c r="BJ9" s="86">
        <v>44901</v>
      </c>
      <c r="BK9" s="89">
        <v>44908</v>
      </c>
      <c r="BL9" s="87">
        <v>44915</v>
      </c>
      <c r="BM9" s="90">
        <v>44922</v>
      </c>
      <c r="BN9" s="11"/>
    </row>
    <row r="10" spans="1:66" ht="71" customHeight="1">
      <c r="E10" s="42">
        <v>1.3</v>
      </c>
      <c r="F10" s="63" t="s">
        <v>127</v>
      </c>
      <c r="G10" s="52">
        <v>44652</v>
      </c>
      <c r="H10" s="52">
        <v>44691</v>
      </c>
      <c r="I10" s="53">
        <f t="shared" ref="I10" si="1">NETWORKDAYS(G10,H10)</f>
        <v>28</v>
      </c>
      <c r="J10" s="49" t="s">
        <v>77</v>
      </c>
      <c r="K10" s="54">
        <v>2</v>
      </c>
      <c r="L10" s="58" t="s">
        <v>107</v>
      </c>
      <c r="M10" s="58" t="s">
        <v>128</v>
      </c>
      <c r="N10" s="5">
        <v>44564</v>
      </c>
      <c r="O10" s="64">
        <v>44572</v>
      </c>
      <c r="P10" s="5">
        <v>44579</v>
      </c>
      <c r="Q10" s="66">
        <v>44586</v>
      </c>
      <c r="R10" s="5">
        <v>44593</v>
      </c>
      <c r="S10" s="67">
        <v>44600</v>
      </c>
      <c r="T10" s="68">
        <v>44607</v>
      </c>
      <c r="U10" s="69">
        <v>44614</v>
      </c>
      <c r="V10" s="5">
        <v>44621</v>
      </c>
      <c r="W10" s="5">
        <v>44628</v>
      </c>
      <c r="X10" s="68">
        <v>44635</v>
      </c>
      <c r="Y10" s="70">
        <v>44642</v>
      </c>
      <c r="Z10" s="71">
        <v>44649</v>
      </c>
      <c r="AA10" s="72">
        <v>44656</v>
      </c>
      <c r="AB10" s="73">
        <v>44663</v>
      </c>
      <c r="AC10" s="74">
        <v>44670</v>
      </c>
      <c r="AD10" s="75">
        <v>44677</v>
      </c>
      <c r="AE10" s="76">
        <v>44684</v>
      </c>
      <c r="AF10" s="77">
        <v>44691</v>
      </c>
      <c r="AG10" s="78">
        <v>44698</v>
      </c>
      <c r="AH10" s="79">
        <v>44705</v>
      </c>
      <c r="AI10" s="80">
        <v>44712</v>
      </c>
      <c r="AJ10" s="5">
        <v>44719</v>
      </c>
      <c r="AK10" s="81">
        <v>44726</v>
      </c>
      <c r="AL10" s="82">
        <v>44733</v>
      </c>
      <c r="AM10" s="83">
        <v>44740</v>
      </c>
      <c r="AN10" s="72">
        <v>44747</v>
      </c>
      <c r="AO10" s="73">
        <v>44754</v>
      </c>
      <c r="AP10" s="74">
        <v>44761</v>
      </c>
      <c r="AQ10" s="94">
        <v>44768</v>
      </c>
      <c r="AR10" s="95">
        <v>44775</v>
      </c>
      <c r="AS10" s="84">
        <v>44782</v>
      </c>
      <c r="AT10" s="85">
        <v>44789</v>
      </c>
      <c r="AU10" s="96">
        <v>44796</v>
      </c>
      <c r="AV10" s="106">
        <v>44803</v>
      </c>
      <c r="AW10" s="86">
        <v>44810</v>
      </c>
      <c r="AX10" s="5">
        <v>44817</v>
      </c>
      <c r="AY10" s="87">
        <v>44824</v>
      </c>
      <c r="AZ10" s="88">
        <v>44831</v>
      </c>
      <c r="BA10" s="8">
        <v>44838</v>
      </c>
      <c r="BB10" s="5">
        <v>44845</v>
      </c>
      <c r="BC10" s="65">
        <v>44852</v>
      </c>
      <c r="BD10" s="109">
        <v>44859</v>
      </c>
      <c r="BE10" s="111">
        <v>44866</v>
      </c>
      <c r="BF10" s="67">
        <v>44873</v>
      </c>
      <c r="BG10" s="68">
        <v>44880</v>
      </c>
      <c r="BH10" s="108">
        <v>44887</v>
      </c>
      <c r="BI10" s="112">
        <v>44894</v>
      </c>
      <c r="BJ10" s="86">
        <v>44901</v>
      </c>
      <c r="BK10" s="89">
        <v>44908</v>
      </c>
      <c r="BL10" s="87">
        <v>44915</v>
      </c>
      <c r="BM10" s="90">
        <v>44922</v>
      </c>
      <c r="BN10" s="11"/>
    </row>
    <row r="11" spans="1:66" ht="68" customHeight="1">
      <c r="A11" s="2"/>
      <c r="B11" s="36"/>
      <c r="C11" s="42"/>
      <c r="D11" s="37"/>
      <c r="E11" s="42">
        <v>1.4</v>
      </c>
      <c r="F11" s="38" t="s">
        <v>98</v>
      </c>
      <c r="G11" s="52">
        <v>44692</v>
      </c>
      <c r="H11" s="52">
        <v>44732</v>
      </c>
      <c r="I11" s="53">
        <f>NETWORKDAYS(G11,H11)</f>
        <v>29</v>
      </c>
      <c r="J11" s="49" t="s">
        <v>77</v>
      </c>
      <c r="K11" s="54">
        <v>2</v>
      </c>
      <c r="L11" s="58" t="s">
        <v>107</v>
      </c>
      <c r="M11" s="58" t="s">
        <v>128</v>
      </c>
      <c r="N11" s="5">
        <v>44564</v>
      </c>
      <c r="O11" s="64">
        <v>44572</v>
      </c>
      <c r="P11" s="5">
        <v>44579</v>
      </c>
      <c r="Q11" s="66">
        <v>44586</v>
      </c>
      <c r="R11" s="5">
        <v>44593</v>
      </c>
      <c r="S11" s="67">
        <v>44600</v>
      </c>
      <c r="T11" s="68">
        <v>44607</v>
      </c>
      <c r="U11" s="69">
        <v>44614</v>
      </c>
      <c r="V11" s="5">
        <v>44621</v>
      </c>
      <c r="W11" s="5">
        <v>44628</v>
      </c>
      <c r="X11" s="68">
        <v>44635</v>
      </c>
      <c r="Y11" s="70">
        <v>44642</v>
      </c>
      <c r="Z11" s="71">
        <v>44649</v>
      </c>
      <c r="AA11" s="72">
        <v>44656</v>
      </c>
      <c r="AB11" s="73">
        <v>44663</v>
      </c>
      <c r="AC11" s="74">
        <v>44670</v>
      </c>
      <c r="AD11" s="75">
        <v>44677</v>
      </c>
      <c r="AE11" s="76">
        <v>44684</v>
      </c>
      <c r="AF11" s="77">
        <v>44691</v>
      </c>
      <c r="AG11" s="78">
        <v>44698</v>
      </c>
      <c r="AH11" s="79">
        <v>44705</v>
      </c>
      <c r="AI11" s="80">
        <v>44712</v>
      </c>
      <c r="AJ11" s="5">
        <v>44719</v>
      </c>
      <c r="AK11" s="81">
        <v>44726</v>
      </c>
      <c r="AL11" s="82">
        <v>44733</v>
      </c>
      <c r="AM11" s="83">
        <v>44740</v>
      </c>
      <c r="AN11" s="72">
        <v>44747</v>
      </c>
      <c r="AO11" s="73">
        <v>44754</v>
      </c>
      <c r="AP11" s="74">
        <v>44761</v>
      </c>
      <c r="AQ11" s="94">
        <v>44768</v>
      </c>
      <c r="AR11" s="95">
        <v>44775</v>
      </c>
      <c r="AS11" s="84">
        <v>44782</v>
      </c>
      <c r="AT11" s="85">
        <v>44789</v>
      </c>
      <c r="AU11" s="96">
        <v>44796</v>
      </c>
      <c r="AV11" s="106">
        <v>44803</v>
      </c>
      <c r="AW11" s="86">
        <v>44810</v>
      </c>
      <c r="AX11" s="5">
        <v>44817</v>
      </c>
      <c r="AY11" s="87">
        <v>44824</v>
      </c>
      <c r="AZ11" s="88">
        <v>44831</v>
      </c>
      <c r="BA11" s="8">
        <v>44838</v>
      </c>
      <c r="BB11" s="5">
        <v>44845</v>
      </c>
      <c r="BC11" s="65">
        <v>44852</v>
      </c>
      <c r="BD11" s="109">
        <v>44859</v>
      </c>
      <c r="BE11" s="111">
        <v>44866</v>
      </c>
      <c r="BF11" s="67">
        <v>44873</v>
      </c>
      <c r="BG11" s="68">
        <v>44880</v>
      </c>
      <c r="BH11" s="108">
        <v>44887</v>
      </c>
      <c r="BI11" s="112">
        <v>44894</v>
      </c>
      <c r="BJ11" s="86">
        <v>44901</v>
      </c>
      <c r="BK11" s="89">
        <v>44908</v>
      </c>
      <c r="BL11" s="87">
        <v>44915</v>
      </c>
      <c r="BM11" s="90">
        <v>44922</v>
      </c>
      <c r="BN11" s="11"/>
    </row>
    <row r="12" spans="1:66" ht="15.5" customHeight="1">
      <c r="A12" s="2"/>
      <c r="B12" s="27"/>
      <c r="C12" s="40">
        <v>2</v>
      </c>
      <c r="D12" s="28" t="s">
        <v>130</v>
      </c>
      <c r="E12" s="41"/>
      <c r="F12" s="29"/>
      <c r="G12" s="55">
        <v>44719</v>
      </c>
      <c r="H12" s="55">
        <v>44764</v>
      </c>
      <c r="I12" s="56">
        <f>NETWORKDAYS(G12,H12)</f>
        <v>34</v>
      </c>
      <c r="J12" s="50"/>
      <c r="K12" s="57"/>
      <c r="L12" s="59"/>
      <c r="M12" s="59"/>
      <c r="N12" s="5">
        <v>44564</v>
      </c>
      <c r="O12" s="64">
        <v>44572</v>
      </c>
      <c r="P12" s="5">
        <v>44579</v>
      </c>
      <c r="Q12" s="66">
        <v>44586</v>
      </c>
      <c r="R12" s="5">
        <v>44593</v>
      </c>
      <c r="S12" s="67">
        <v>44600</v>
      </c>
      <c r="T12" s="68">
        <v>44607</v>
      </c>
      <c r="U12" s="69">
        <v>44614</v>
      </c>
      <c r="V12" s="5">
        <v>44621</v>
      </c>
      <c r="W12" s="5">
        <v>44628</v>
      </c>
      <c r="X12" s="68">
        <v>44635</v>
      </c>
      <c r="Y12" s="70">
        <v>44642</v>
      </c>
      <c r="Z12" s="71">
        <v>44649</v>
      </c>
      <c r="AA12" s="72">
        <v>44656</v>
      </c>
      <c r="AB12" s="73">
        <v>44663</v>
      </c>
      <c r="AC12" s="74">
        <v>44670</v>
      </c>
      <c r="AD12" s="75">
        <v>44677</v>
      </c>
      <c r="AE12" s="76">
        <v>44684</v>
      </c>
      <c r="AF12" s="77">
        <v>44691</v>
      </c>
      <c r="AG12" s="78">
        <v>44698</v>
      </c>
      <c r="AH12" s="79">
        <v>44705</v>
      </c>
      <c r="AI12" s="80">
        <v>44712</v>
      </c>
      <c r="AJ12" s="5">
        <v>44719</v>
      </c>
      <c r="AK12" s="81">
        <v>44726</v>
      </c>
      <c r="AL12" s="82">
        <v>44733</v>
      </c>
      <c r="AM12" s="83">
        <v>44740</v>
      </c>
      <c r="AN12" s="72">
        <v>44747</v>
      </c>
      <c r="AO12" s="73">
        <v>44754</v>
      </c>
      <c r="AP12" s="74">
        <v>44761</v>
      </c>
      <c r="AQ12" s="94">
        <v>44768</v>
      </c>
      <c r="AR12" s="95">
        <v>44775</v>
      </c>
      <c r="AS12" s="84">
        <v>44782</v>
      </c>
      <c r="AT12" s="85">
        <v>44789</v>
      </c>
      <c r="AU12" s="96">
        <v>44796</v>
      </c>
      <c r="AV12" s="106">
        <v>44803</v>
      </c>
      <c r="AW12" s="86">
        <v>44810</v>
      </c>
      <c r="AX12" s="5">
        <v>44817</v>
      </c>
      <c r="AY12" s="87">
        <v>44824</v>
      </c>
      <c r="AZ12" s="88">
        <v>44831</v>
      </c>
      <c r="BA12" s="8">
        <v>44838</v>
      </c>
      <c r="BB12" s="5">
        <v>44845</v>
      </c>
      <c r="BC12" s="65">
        <v>44852</v>
      </c>
      <c r="BD12" s="109">
        <v>44859</v>
      </c>
      <c r="BE12" s="111">
        <v>44866</v>
      </c>
      <c r="BF12" s="67">
        <v>44873</v>
      </c>
      <c r="BG12" s="68">
        <v>44880</v>
      </c>
      <c r="BH12" s="108">
        <v>44887</v>
      </c>
      <c r="BI12" s="112">
        <v>44894</v>
      </c>
      <c r="BJ12" s="86">
        <v>44901</v>
      </c>
      <c r="BK12" s="89">
        <v>44908</v>
      </c>
      <c r="BL12" s="87">
        <v>44915</v>
      </c>
      <c r="BM12" s="90">
        <v>44922</v>
      </c>
      <c r="BN12" s="11"/>
    </row>
    <row r="13" spans="1:66" ht="70.25" customHeight="1">
      <c r="E13" s="42">
        <v>2.1</v>
      </c>
      <c r="F13" s="38" t="s">
        <v>88</v>
      </c>
      <c r="G13" s="52">
        <v>44719</v>
      </c>
      <c r="H13" s="52">
        <v>44727</v>
      </c>
      <c r="I13" s="53">
        <f t="shared" ref="I13" si="2">NETWORKDAYS(G13,H13)</f>
        <v>7</v>
      </c>
      <c r="J13" s="49" t="s">
        <v>77</v>
      </c>
      <c r="K13" s="54">
        <v>3</v>
      </c>
      <c r="L13" s="58" t="s">
        <v>124</v>
      </c>
      <c r="M13" s="58" t="s">
        <v>121</v>
      </c>
      <c r="N13" s="5">
        <v>44564</v>
      </c>
      <c r="O13" s="64">
        <v>44572</v>
      </c>
      <c r="P13" s="5">
        <v>44579</v>
      </c>
      <c r="Q13" s="66">
        <v>44586</v>
      </c>
      <c r="R13" s="5">
        <v>44593</v>
      </c>
      <c r="S13" s="67">
        <v>44600</v>
      </c>
      <c r="T13" s="68">
        <v>44607</v>
      </c>
      <c r="U13" s="69">
        <v>44614</v>
      </c>
      <c r="V13" s="5">
        <v>44621</v>
      </c>
      <c r="W13" s="5">
        <v>44628</v>
      </c>
      <c r="X13" s="68">
        <v>44635</v>
      </c>
      <c r="Y13" s="70">
        <v>44642</v>
      </c>
      <c r="Z13" s="71">
        <v>44649</v>
      </c>
      <c r="AA13" s="72">
        <v>44656</v>
      </c>
      <c r="AB13" s="73">
        <v>44663</v>
      </c>
      <c r="AC13" s="74">
        <v>44670</v>
      </c>
      <c r="AD13" s="75">
        <v>44677</v>
      </c>
      <c r="AE13" s="76">
        <v>44684</v>
      </c>
      <c r="AF13" s="77">
        <v>44691</v>
      </c>
      <c r="AG13" s="78">
        <v>44698</v>
      </c>
      <c r="AH13" s="79">
        <v>44705</v>
      </c>
      <c r="AI13" s="80">
        <v>44712</v>
      </c>
      <c r="AJ13" s="5">
        <v>44719</v>
      </c>
      <c r="AK13" s="81">
        <v>44726</v>
      </c>
      <c r="AL13" s="82">
        <v>44733</v>
      </c>
      <c r="AM13" s="83">
        <v>44740</v>
      </c>
      <c r="AN13" s="72">
        <v>44747</v>
      </c>
      <c r="AO13" s="73">
        <v>44754</v>
      </c>
      <c r="AP13" s="74">
        <v>44761</v>
      </c>
      <c r="AQ13" s="94">
        <v>44768</v>
      </c>
      <c r="AR13" s="95">
        <v>44775</v>
      </c>
      <c r="AS13" s="84">
        <v>44782</v>
      </c>
      <c r="AT13" s="85">
        <v>44789</v>
      </c>
      <c r="AU13" s="96">
        <v>44796</v>
      </c>
      <c r="AV13" s="106">
        <v>44803</v>
      </c>
      <c r="AW13" s="86">
        <v>44810</v>
      </c>
      <c r="AX13" s="5">
        <v>44817</v>
      </c>
      <c r="AY13" s="87">
        <v>44824</v>
      </c>
      <c r="AZ13" s="88">
        <v>44831</v>
      </c>
      <c r="BA13" s="8">
        <v>44838</v>
      </c>
      <c r="BB13" s="5">
        <v>44845</v>
      </c>
      <c r="BC13" s="65">
        <v>44852</v>
      </c>
      <c r="BD13" s="109">
        <v>44859</v>
      </c>
      <c r="BE13" s="111">
        <v>44866</v>
      </c>
      <c r="BF13" s="67">
        <v>44873</v>
      </c>
      <c r="BG13" s="68">
        <v>44880</v>
      </c>
      <c r="BH13" s="108">
        <v>44887</v>
      </c>
      <c r="BI13" s="112">
        <v>44894</v>
      </c>
      <c r="BJ13" s="86">
        <v>44901</v>
      </c>
      <c r="BK13" s="89">
        <v>44908</v>
      </c>
      <c r="BL13" s="87">
        <v>44915</v>
      </c>
      <c r="BM13" s="90">
        <v>44922</v>
      </c>
      <c r="BN13" s="11"/>
    </row>
    <row r="14" spans="1:66" ht="15.5" customHeight="1">
      <c r="A14" s="2"/>
      <c r="B14" s="27"/>
      <c r="C14" s="40">
        <v>3</v>
      </c>
      <c r="D14" s="28" t="s">
        <v>99</v>
      </c>
      <c r="E14" s="41"/>
      <c r="F14" s="29"/>
      <c r="G14" s="55">
        <v>44746</v>
      </c>
      <c r="H14" s="55">
        <v>44771</v>
      </c>
      <c r="I14" s="56">
        <f>NETWORKDAYS(G14,H14)</f>
        <v>20</v>
      </c>
      <c r="J14" s="50"/>
      <c r="K14" s="57"/>
      <c r="L14" s="59"/>
      <c r="M14" s="59"/>
      <c r="N14" s="5">
        <v>44564</v>
      </c>
      <c r="O14" s="64">
        <v>44572</v>
      </c>
      <c r="P14" s="5">
        <v>44579</v>
      </c>
      <c r="Q14" s="66">
        <v>44586</v>
      </c>
      <c r="R14" s="5">
        <v>44593</v>
      </c>
      <c r="S14" s="67">
        <v>44600</v>
      </c>
      <c r="T14" s="68">
        <v>44607</v>
      </c>
      <c r="U14" s="69">
        <v>44614</v>
      </c>
      <c r="V14" s="5">
        <v>44621</v>
      </c>
      <c r="W14" s="5">
        <v>44628</v>
      </c>
      <c r="X14" s="68">
        <v>44635</v>
      </c>
      <c r="Y14" s="70">
        <v>44642</v>
      </c>
      <c r="Z14" s="71">
        <v>44649</v>
      </c>
      <c r="AA14" s="72">
        <v>44656</v>
      </c>
      <c r="AB14" s="73">
        <v>44663</v>
      </c>
      <c r="AC14" s="74">
        <v>44670</v>
      </c>
      <c r="AD14" s="75">
        <v>44677</v>
      </c>
      <c r="AE14" s="76">
        <v>44684</v>
      </c>
      <c r="AF14" s="77">
        <v>44691</v>
      </c>
      <c r="AG14" s="78">
        <v>44698</v>
      </c>
      <c r="AH14" s="79">
        <v>44705</v>
      </c>
      <c r="AI14" s="80">
        <v>44712</v>
      </c>
      <c r="AJ14" s="5">
        <v>44719</v>
      </c>
      <c r="AK14" s="81">
        <v>44726</v>
      </c>
      <c r="AL14" s="82">
        <v>44733</v>
      </c>
      <c r="AM14" s="83">
        <v>44740</v>
      </c>
      <c r="AN14" s="72">
        <v>44747</v>
      </c>
      <c r="AO14" s="73">
        <v>44754</v>
      </c>
      <c r="AP14" s="74">
        <v>44761</v>
      </c>
      <c r="AQ14" s="94">
        <v>44768</v>
      </c>
      <c r="AR14" s="95">
        <v>44775</v>
      </c>
      <c r="AS14" s="84">
        <v>44782</v>
      </c>
      <c r="AT14" s="85">
        <v>44789</v>
      </c>
      <c r="AU14" s="96">
        <v>44796</v>
      </c>
      <c r="AV14" s="106">
        <v>44803</v>
      </c>
      <c r="AW14" s="86">
        <v>44810</v>
      </c>
      <c r="AX14" s="5">
        <v>44817</v>
      </c>
      <c r="AY14" s="87">
        <v>44824</v>
      </c>
      <c r="AZ14" s="88">
        <v>44831</v>
      </c>
      <c r="BA14" s="8">
        <v>44838</v>
      </c>
      <c r="BB14" s="5">
        <v>44845</v>
      </c>
      <c r="BC14" s="65">
        <v>44852</v>
      </c>
      <c r="BD14" s="109">
        <v>44859</v>
      </c>
      <c r="BE14" s="111">
        <v>44866</v>
      </c>
      <c r="BF14" s="67">
        <v>44873</v>
      </c>
      <c r="BG14" s="68">
        <v>44880</v>
      </c>
      <c r="BH14" s="108">
        <v>44887</v>
      </c>
      <c r="BI14" s="112">
        <v>44894</v>
      </c>
      <c r="BJ14" s="86">
        <v>44901</v>
      </c>
      <c r="BK14" s="89">
        <v>44908</v>
      </c>
      <c r="BL14" s="87">
        <v>44915</v>
      </c>
      <c r="BM14" s="90">
        <v>44922</v>
      </c>
      <c r="BN14" s="11"/>
    </row>
    <row r="15" spans="1:66" ht="69" customHeight="1">
      <c r="E15" s="62">
        <v>3.1</v>
      </c>
      <c r="F15" s="63" t="s">
        <v>89</v>
      </c>
      <c r="G15" s="52">
        <v>44746</v>
      </c>
      <c r="H15" s="52">
        <v>44762</v>
      </c>
      <c r="I15" s="47">
        <f t="shared" ref="I15" si="3">NETWORKDAYS(G15,H15)</f>
        <v>13</v>
      </c>
      <c r="J15" s="47" t="s">
        <v>77</v>
      </c>
      <c r="K15" s="48">
        <v>5</v>
      </c>
      <c r="L15" s="4" t="s">
        <v>109</v>
      </c>
      <c r="M15" s="60" t="s">
        <v>83</v>
      </c>
      <c r="N15" s="5">
        <v>44564</v>
      </c>
      <c r="O15" s="64">
        <v>44572</v>
      </c>
      <c r="P15" s="5">
        <v>44579</v>
      </c>
      <c r="Q15" s="66">
        <v>44586</v>
      </c>
      <c r="R15" s="5">
        <v>44593</v>
      </c>
      <c r="S15" s="67">
        <v>44600</v>
      </c>
      <c r="T15" s="68">
        <v>44607</v>
      </c>
      <c r="U15" s="69">
        <v>44614</v>
      </c>
      <c r="V15" s="5">
        <v>44621</v>
      </c>
      <c r="W15" s="5">
        <v>44628</v>
      </c>
      <c r="X15" s="68">
        <v>44635</v>
      </c>
      <c r="Y15" s="70">
        <v>44642</v>
      </c>
      <c r="Z15" s="71">
        <v>44649</v>
      </c>
      <c r="AA15" s="72">
        <v>44656</v>
      </c>
      <c r="AB15" s="73">
        <v>44663</v>
      </c>
      <c r="AC15" s="74">
        <v>44670</v>
      </c>
      <c r="AD15" s="75">
        <v>44677</v>
      </c>
      <c r="AE15" s="76">
        <v>44684</v>
      </c>
      <c r="AF15" s="77">
        <v>44691</v>
      </c>
      <c r="AG15" s="78">
        <v>44698</v>
      </c>
      <c r="AH15" s="79">
        <v>44705</v>
      </c>
      <c r="AI15" s="80">
        <v>44712</v>
      </c>
      <c r="AJ15" s="5">
        <v>44719</v>
      </c>
      <c r="AK15" s="81">
        <v>44726</v>
      </c>
      <c r="AL15" s="82">
        <v>44733</v>
      </c>
      <c r="AM15" s="83">
        <v>44740</v>
      </c>
      <c r="AN15" s="72">
        <v>44747</v>
      </c>
      <c r="AO15" s="73">
        <v>44754</v>
      </c>
      <c r="AP15" s="74">
        <v>44761</v>
      </c>
      <c r="AQ15" s="94">
        <v>44768</v>
      </c>
      <c r="AR15" s="95">
        <v>44775</v>
      </c>
      <c r="AS15" s="84">
        <v>44782</v>
      </c>
      <c r="AT15" s="85">
        <v>44789</v>
      </c>
      <c r="AU15" s="96">
        <v>44796</v>
      </c>
      <c r="AV15" s="106">
        <v>44803</v>
      </c>
      <c r="AW15" s="86">
        <v>44810</v>
      </c>
      <c r="AX15" s="5">
        <v>44817</v>
      </c>
      <c r="AY15" s="87">
        <v>44824</v>
      </c>
      <c r="AZ15" s="88">
        <v>44831</v>
      </c>
      <c r="BA15" s="8">
        <v>44838</v>
      </c>
      <c r="BB15" s="5">
        <v>44845</v>
      </c>
      <c r="BC15" s="65">
        <v>44852</v>
      </c>
      <c r="BD15" s="109">
        <v>44859</v>
      </c>
      <c r="BE15" s="111">
        <v>44866</v>
      </c>
      <c r="BF15" s="67">
        <v>44873</v>
      </c>
      <c r="BG15" s="68">
        <v>44880</v>
      </c>
      <c r="BH15" s="108">
        <v>44887</v>
      </c>
      <c r="BI15" s="112">
        <v>44894</v>
      </c>
      <c r="BJ15" s="86">
        <v>44901</v>
      </c>
      <c r="BK15" s="89">
        <v>44908</v>
      </c>
      <c r="BL15" s="87">
        <v>44915</v>
      </c>
      <c r="BM15" s="90">
        <v>44922</v>
      </c>
      <c r="BN15" s="11"/>
    </row>
    <row r="16" spans="1:66" ht="15.5" customHeight="1">
      <c r="A16" s="2"/>
      <c r="B16" s="27"/>
      <c r="C16" s="40">
        <v>4</v>
      </c>
      <c r="D16" s="28" t="s">
        <v>100</v>
      </c>
      <c r="E16" s="41"/>
      <c r="F16" s="29"/>
      <c r="G16" s="55">
        <v>44774</v>
      </c>
      <c r="H16" s="55">
        <v>44895</v>
      </c>
      <c r="I16" s="56">
        <f>NETWORKDAYS(G16,H16)</f>
        <v>88</v>
      </c>
      <c r="J16" s="50"/>
      <c r="K16" s="57"/>
      <c r="L16" s="59"/>
      <c r="M16" s="59"/>
      <c r="N16" s="5">
        <v>44564</v>
      </c>
      <c r="O16" s="64">
        <v>44572</v>
      </c>
      <c r="P16" s="5">
        <v>44579</v>
      </c>
      <c r="Q16" s="66">
        <v>44586</v>
      </c>
      <c r="R16" s="5">
        <v>44593</v>
      </c>
      <c r="S16" s="67">
        <v>44600</v>
      </c>
      <c r="T16" s="68">
        <v>44607</v>
      </c>
      <c r="U16" s="69">
        <v>44614</v>
      </c>
      <c r="V16" s="5">
        <v>44621</v>
      </c>
      <c r="W16" s="5">
        <v>44628</v>
      </c>
      <c r="X16" s="68">
        <v>44635</v>
      </c>
      <c r="Y16" s="70">
        <v>44642</v>
      </c>
      <c r="Z16" s="71">
        <v>44649</v>
      </c>
      <c r="AA16" s="72">
        <v>44656</v>
      </c>
      <c r="AB16" s="73">
        <v>44663</v>
      </c>
      <c r="AC16" s="74">
        <v>44670</v>
      </c>
      <c r="AD16" s="75">
        <v>44677</v>
      </c>
      <c r="AE16" s="76">
        <v>44684</v>
      </c>
      <c r="AF16" s="77">
        <v>44691</v>
      </c>
      <c r="AG16" s="78">
        <v>44698</v>
      </c>
      <c r="AH16" s="79">
        <v>44705</v>
      </c>
      <c r="AI16" s="80">
        <v>44712</v>
      </c>
      <c r="AJ16" s="5">
        <v>44719</v>
      </c>
      <c r="AK16" s="81">
        <v>44726</v>
      </c>
      <c r="AL16" s="82">
        <v>44733</v>
      </c>
      <c r="AM16" s="83">
        <v>44740</v>
      </c>
      <c r="AN16" s="72">
        <v>44747</v>
      </c>
      <c r="AO16" s="73">
        <v>44754</v>
      </c>
      <c r="AP16" s="74">
        <v>44761</v>
      </c>
      <c r="AQ16" s="94">
        <v>44768</v>
      </c>
      <c r="AR16" s="95">
        <v>44775</v>
      </c>
      <c r="AS16" s="84">
        <v>44782</v>
      </c>
      <c r="AT16" s="85">
        <v>44789</v>
      </c>
      <c r="AU16" s="96">
        <v>44796</v>
      </c>
      <c r="AV16" s="106">
        <v>44803</v>
      </c>
      <c r="AW16" s="86">
        <v>44810</v>
      </c>
      <c r="AX16" s="5">
        <v>44817</v>
      </c>
      <c r="AY16" s="87">
        <v>44824</v>
      </c>
      <c r="AZ16" s="88">
        <v>44831</v>
      </c>
      <c r="BA16" s="8">
        <v>44838</v>
      </c>
      <c r="BB16" s="5">
        <v>44845</v>
      </c>
      <c r="BC16" s="65">
        <v>44852</v>
      </c>
      <c r="BD16" s="109">
        <v>44859</v>
      </c>
      <c r="BE16" s="111">
        <v>44866</v>
      </c>
      <c r="BF16" s="67">
        <v>44873</v>
      </c>
      <c r="BG16" s="68">
        <v>44880</v>
      </c>
      <c r="BH16" s="108">
        <v>44887</v>
      </c>
      <c r="BI16" s="112">
        <v>44894</v>
      </c>
      <c r="BJ16" s="86">
        <v>44901</v>
      </c>
      <c r="BK16" s="89">
        <v>44908</v>
      </c>
      <c r="BL16" s="87">
        <v>44915</v>
      </c>
      <c r="BM16" s="90">
        <v>44922</v>
      </c>
      <c r="BN16" s="11"/>
    </row>
    <row r="17" spans="1:66" ht="155" customHeight="1">
      <c r="E17" s="62">
        <v>4.0999999999999996</v>
      </c>
      <c r="F17" s="63" t="s">
        <v>90</v>
      </c>
      <c r="G17" s="52">
        <v>44753</v>
      </c>
      <c r="H17" s="52">
        <v>44772</v>
      </c>
      <c r="I17" s="47">
        <f t="shared" ref="I17" si="4">NETWORKDAYS(G17,H17)</f>
        <v>15</v>
      </c>
      <c r="J17" s="47" t="s">
        <v>77</v>
      </c>
      <c r="K17" s="48">
        <v>10</v>
      </c>
      <c r="L17" s="4" t="s">
        <v>108</v>
      </c>
      <c r="M17" s="58" t="s">
        <v>122</v>
      </c>
      <c r="N17" s="5">
        <v>44564</v>
      </c>
      <c r="O17" s="64">
        <v>44572</v>
      </c>
      <c r="P17" s="5">
        <v>44579</v>
      </c>
      <c r="Q17" s="66">
        <v>44586</v>
      </c>
      <c r="R17" s="5">
        <v>44593</v>
      </c>
      <c r="S17" s="67">
        <v>44600</v>
      </c>
      <c r="T17" s="68">
        <v>44607</v>
      </c>
      <c r="U17" s="69">
        <v>44614</v>
      </c>
      <c r="V17" s="5">
        <v>44621</v>
      </c>
      <c r="W17" s="5">
        <v>44628</v>
      </c>
      <c r="X17" s="68">
        <v>44635</v>
      </c>
      <c r="Y17" s="70">
        <v>44642</v>
      </c>
      <c r="Z17" s="71">
        <v>44649</v>
      </c>
      <c r="AA17" s="72">
        <v>44656</v>
      </c>
      <c r="AB17" s="73">
        <v>44663</v>
      </c>
      <c r="AC17" s="74">
        <v>44670</v>
      </c>
      <c r="AD17" s="75">
        <v>44677</v>
      </c>
      <c r="AE17" s="76">
        <v>44684</v>
      </c>
      <c r="AF17" s="77">
        <v>44691</v>
      </c>
      <c r="AG17" s="78">
        <v>44698</v>
      </c>
      <c r="AH17" s="79">
        <v>44705</v>
      </c>
      <c r="AI17" s="80">
        <v>44712</v>
      </c>
      <c r="AJ17" s="5">
        <v>44719</v>
      </c>
      <c r="AK17" s="81">
        <v>44726</v>
      </c>
      <c r="AL17" s="82">
        <v>44733</v>
      </c>
      <c r="AM17" s="83">
        <v>44740</v>
      </c>
      <c r="AN17" s="72">
        <v>44747</v>
      </c>
      <c r="AO17" s="73">
        <v>44754</v>
      </c>
      <c r="AP17" s="74">
        <v>44761</v>
      </c>
      <c r="AQ17" s="94">
        <v>44768</v>
      </c>
      <c r="AR17" s="95">
        <v>44775</v>
      </c>
      <c r="AS17" s="84">
        <v>44782</v>
      </c>
      <c r="AT17" s="85">
        <v>44789</v>
      </c>
      <c r="AU17" s="96">
        <v>44796</v>
      </c>
      <c r="AV17" s="106">
        <v>44803</v>
      </c>
      <c r="AW17" s="86">
        <v>44810</v>
      </c>
      <c r="AX17" s="5">
        <v>44817</v>
      </c>
      <c r="AY17" s="87">
        <v>44824</v>
      </c>
      <c r="AZ17" s="88">
        <v>44831</v>
      </c>
      <c r="BA17" s="8">
        <v>44838</v>
      </c>
      <c r="BB17" s="5">
        <v>44845</v>
      </c>
      <c r="BC17" s="65">
        <v>44852</v>
      </c>
      <c r="BD17" s="109">
        <v>44859</v>
      </c>
      <c r="BE17" s="111">
        <v>44866</v>
      </c>
      <c r="BF17" s="67">
        <v>44873</v>
      </c>
      <c r="BG17" s="68">
        <v>44880</v>
      </c>
      <c r="BH17" s="108">
        <v>44887</v>
      </c>
      <c r="BI17" s="112">
        <v>44894</v>
      </c>
      <c r="BJ17" s="86">
        <v>44901</v>
      </c>
      <c r="BK17" s="89">
        <v>44908</v>
      </c>
      <c r="BL17" s="87">
        <v>44915</v>
      </c>
      <c r="BM17" s="90">
        <v>44922</v>
      </c>
      <c r="BN17" s="11"/>
    </row>
    <row r="18" spans="1:66" ht="15.5" customHeight="1">
      <c r="A18" s="2"/>
      <c r="B18" s="27"/>
      <c r="C18" s="40">
        <v>5</v>
      </c>
      <c r="D18" s="28" t="s">
        <v>101</v>
      </c>
      <c r="E18" s="41"/>
      <c r="F18" s="29"/>
      <c r="G18" s="55">
        <v>44896</v>
      </c>
      <c r="H18" s="55">
        <v>44911</v>
      </c>
      <c r="I18" s="56">
        <f>NETWORKDAYS(G18,H18)</f>
        <v>12</v>
      </c>
      <c r="J18" s="50"/>
      <c r="K18" s="57"/>
      <c r="L18" s="59"/>
      <c r="M18" s="59"/>
      <c r="N18" s="5">
        <v>44564</v>
      </c>
      <c r="O18" s="64">
        <v>44572</v>
      </c>
      <c r="P18" s="65">
        <v>44579</v>
      </c>
      <c r="Q18" s="66">
        <v>44586</v>
      </c>
      <c r="R18" s="5">
        <v>44593</v>
      </c>
      <c r="S18" s="67">
        <v>44600</v>
      </c>
      <c r="T18" s="68">
        <v>44607</v>
      </c>
      <c r="U18" s="69">
        <v>44614</v>
      </c>
      <c r="V18" s="5">
        <v>44621</v>
      </c>
      <c r="W18" s="67">
        <v>44628</v>
      </c>
      <c r="X18" s="68">
        <v>44635</v>
      </c>
      <c r="Y18" s="70">
        <v>44642</v>
      </c>
      <c r="Z18" s="71">
        <v>44649</v>
      </c>
      <c r="AA18" s="72">
        <v>44656</v>
      </c>
      <c r="AB18" s="73">
        <v>44663</v>
      </c>
      <c r="AC18" s="74">
        <v>44670</v>
      </c>
      <c r="AD18" s="75">
        <v>44677</v>
      </c>
      <c r="AE18" s="76">
        <v>44684</v>
      </c>
      <c r="AF18" s="77">
        <v>44691</v>
      </c>
      <c r="AG18" s="78">
        <v>44698</v>
      </c>
      <c r="AH18" s="79">
        <v>44705</v>
      </c>
      <c r="AI18" s="80">
        <v>44712</v>
      </c>
      <c r="AJ18" s="5">
        <v>44719</v>
      </c>
      <c r="AK18" s="81">
        <v>44726</v>
      </c>
      <c r="AL18" s="82">
        <v>44733</v>
      </c>
      <c r="AM18" s="83">
        <v>44740</v>
      </c>
      <c r="AN18" s="72">
        <v>44747</v>
      </c>
      <c r="AO18" s="73">
        <v>44754</v>
      </c>
      <c r="AP18" s="74">
        <v>44761</v>
      </c>
      <c r="AQ18" s="94">
        <v>44768</v>
      </c>
      <c r="AR18" s="95">
        <v>44775</v>
      </c>
      <c r="AS18" s="84">
        <v>44782</v>
      </c>
      <c r="AT18" s="85">
        <v>44789</v>
      </c>
      <c r="AU18" s="96">
        <v>44796</v>
      </c>
      <c r="AV18" s="106">
        <v>44803</v>
      </c>
      <c r="AW18" s="86">
        <v>44810</v>
      </c>
      <c r="AX18" s="5">
        <v>44817</v>
      </c>
      <c r="AY18" s="87">
        <v>44824</v>
      </c>
      <c r="AZ18" s="88">
        <v>44831</v>
      </c>
      <c r="BA18" s="8">
        <v>44838</v>
      </c>
      <c r="BB18" s="5">
        <v>44845</v>
      </c>
      <c r="BC18" s="65">
        <v>44852</v>
      </c>
      <c r="BD18" s="109">
        <v>44859</v>
      </c>
      <c r="BE18" s="111">
        <v>44866</v>
      </c>
      <c r="BF18" s="67">
        <v>44873</v>
      </c>
      <c r="BG18" s="68">
        <v>44880</v>
      </c>
      <c r="BH18" s="108">
        <v>44887</v>
      </c>
      <c r="BI18" s="112">
        <v>44894</v>
      </c>
      <c r="BJ18" s="86">
        <v>44901</v>
      </c>
      <c r="BK18" s="89">
        <v>44908</v>
      </c>
      <c r="BL18" s="87">
        <v>44915</v>
      </c>
      <c r="BM18" s="90">
        <v>44922</v>
      </c>
      <c r="BN18" s="11"/>
    </row>
    <row r="19" spans="1:66" ht="102.5" customHeight="1">
      <c r="E19" s="62">
        <v>5.0999999999999996</v>
      </c>
      <c r="F19" s="63" t="s">
        <v>91</v>
      </c>
      <c r="G19" s="52">
        <v>44855</v>
      </c>
      <c r="H19" s="52">
        <v>44862</v>
      </c>
      <c r="I19" s="47"/>
      <c r="J19" s="47" t="s">
        <v>82</v>
      </c>
      <c r="K19" s="48">
        <v>2</v>
      </c>
      <c r="L19" s="4" t="s">
        <v>97</v>
      </c>
      <c r="M19" s="4" t="s">
        <v>84</v>
      </c>
      <c r="N19" s="5">
        <v>44564</v>
      </c>
      <c r="O19" s="64">
        <v>44572</v>
      </c>
      <c r="P19" s="65">
        <v>44579</v>
      </c>
      <c r="Q19" s="66">
        <v>44586</v>
      </c>
      <c r="R19" s="5">
        <v>44593</v>
      </c>
      <c r="S19" s="67">
        <v>44600</v>
      </c>
      <c r="T19" s="68">
        <v>44607</v>
      </c>
      <c r="U19" s="69">
        <v>44614</v>
      </c>
      <c r="V19" s="5">
        <v>44621</v>
      </c>
      <c r="W19" s="67">
        <v>44628</v>
      </c>
      <c r="X19" s="68">
        <v>44635</v>
      </c>
      <c r="Y19" s="70">
        <v>44642</v>
      </c>
      <c r="Z19" s="71">
        <v>44649</v>
      </c>
      <c r="AA19" s="72">
        <v>44656</v>
      </c>
      <c r="AB19" s="73">
        <v>44663</v>
      </c>
      <c r="AC19" s="74">
        <v>44670</v>
      </c>
      <c r="AD19" s="75">
        <v>44677</v>
      </c>
      <c r="AE19" s="76">
        <v>44684</v>
      </c>
      <c r="AF19" s="77">
        <v>44691</v>
      </c>
      <c r="AG19" s="78">
        <v>44698</v>
      </c>
      <c r="AH19" s="79">
        <v>44705</v>
      </c>
      <c r="AI19" s="80">
        <v>44712</v>
      </c>
      <c r="AJ19" s="5">
        <v>44719</v>
      </c>
      <c r="AK19" s="81">
        <v>44726</v>
      </c>
      <c r="AL19" s="82">
        <v>44733</v>
      </c>
      <c r="AM19" s="83">
        <v>44740</v>
      </c>
      <c r="AN19" s="72">
        <v>44747</v>
      </c>
      <c r="AO19" s="73">
        <v>44754</v>
      </c>
      <c r="AP19" s="74">
        <v>44761</v>
      </c>
      <c r="AQ19" s="94">
        <v>44768</v>
      </c>
      <c r="AR19" s="95">
        <v>44775</v>
      </c>
      <c r="AS19" s="84">
        <v>44782</v>
      </c>
      <c r="AT19" s="85">
        <v>44789</v>
      </c>
      <c r="AU19" s="96">
        <v>44796</v>
      </c>
      <c r="AV19" s="106">
        <v>44803</v>
      </c>
      <c r="AW19" s="86">
        <v>44810</v>
      </c>
      <c r="AX19" s="5">
        <v>44817</v>
      </c>
      <c r="AY19" s="87">
        <v>44824</v>
      </c>
      <c r="AZ19" s="88">
        <v>44831</v>
      </c>
      <c r="BA19" s="8">
        <v>44838</v>
      </c>
      <c r="BB19" s="5">
        <v>44845</v>
      </c>
      <c r="BC19" s="65">
        <v>44852</v>
      </c>
      <c r="BD19" s="109">
        <v>44859</v>
      </c>
      <c r="BE19" s="111">
        <v>44866</v>
      </c>
      <c r="BF19" s="67">
        <v>44873</v>
      </c>
      <c r="BG19" s="68">
        <v>44880</v>
      </c>
      <c r="BH19" s="108">
        <v>44887</v>
      </c>
      <c r="BI19" s="112">
        <v>44894</v>
      </c>
      <c r="BJ19" s="86">
        <v>44901</v>
      </c>
      <c r="BK19" s="89">
        <v>44908</v>
      </c>
      <c r="BL19" s="87">
        <v>44915</v>
      </c>
      <c r="BM19" s="90">
        <v>44922</v>
      </c>
      <c r="BN19" s="11"/>
    </row>
    <row r="20" spans="1:66" ht="15.5" customHeight="1">
      <c r="A20" s="2"/>
      <c r="B20" s="27"/>
      <c r="C20" s="40">
        <v>6</v>
      </c>
      <c r="D20" s="28" t="s">
        <v>102</v>
      </c>
      <c r="E20" s="41"/>
      <c r="F20" s="29"/>
      <c r="G20" s="55">
        <v>44914</v>
      </c>
      <c r="H20" s="55">
        <v>44918</v>
      </c>
      <c r="I20" s="56">
        <f>NETWORKDAYS(G20,H20)</f>
        <v>5</v>
      </c>
      <c r="J20" s="50"/>
      <c r="K20" s="57"/>
      <c r="L20" s="59"/>
      <c r="M20" s="59"/>
      <c r="N20" s="5">
        <v>44564</v>
      </c>
      <c r="O20" s="64">
        <v>44572</v>
      </c>
      <c r="P20" s="65">
        <v>44579</v>
      </c>
      <c r="Q20" s="66">
        <v>44586</v>
      </c>
      <c r="R20" s="5">
        <v>44593</v>
      </c>
      <c r="S20" s="67">
        <v>44600</v>
      </c>
      <c r="T20" s="68">
        <v>44607</v>
      </c>
      <c r="U20" s="69">
        <v>44614</v>
      </c>
      <c r="V20" s="5">
        <v>44621</v>
      </c>
      <c r="W20" s="67">
        <v>44628</v>
      </c>
      <c r="X20" s="68">
        <v>44635</v>
      </c>
      <c r="Y20" s="70">
        <v>44642</v>
      </c>
      <c r="Z20" s="71">
        <v>44649</v>
      </c>
      <c r="AA20" s="72">
        <v>44656</v>
      </c>
      <c r="AB20" s="73">
        <v>44663</v>
      </c>
      <c r="AC20" s="74">
        <v>44670</v>
      </c>
      <c r="AD20" s="75">
        <v>44677</v>
      </c>
      <c r="AE20" s="76">
        <v>44684</v>
      </c>
      <c r="AF20" s="77">
        <v>44691</v>
      </c>
      <c r="AG20" s="78">
        <v>44698</v>
      </c>
      <c r="AH20" s="79">
        <v>44705</v>
      </c>
      <c r="AI20" s="80">
        <v>44712</v>
      </c>
      <c r="AJ20" s="5">
        <v>44719</v>
      </c>
      <c r="AK20" s="81">
        <v>44726</v>
      </c>
      <c r="AL20" s="82">
        <v>44733</v>
      </c>
      <c r="AM20" s="83">
        <v>44740</v>
      </c>
      <c r="AN20" s="72">
        <v>44747</v>
      </c>
      <c r="AO20" s="73">
        <v>44754</v>
      </c>
      <c r="AP20" s="74">
        <v>44761</v>
      </c>
      <c r="AQ20" s="94">
        <v>44768</v>
      </c>
      <c r="AR20" s="95">
        <v>44775</v>
      </c>
      <c r="AS20" s="84">
        <v>44782</v>
      </c>
      <c r="AT20" s="85">
        <v>44789</v>
      </c>
      <c r="AU20" s="96">
        <v>44796</v>
      </c>
      <c r="AV20" s="106">
        <v>44803</v>
      </c>
      <c r="AW20" s="86">
        <v>44810</v>
      </c>
      <c r="AX20" s="5">
        <v>44817</v>
      </c>
      <c r="AY20" s="87">
        <v>44824</v>
      </c>
      <c r="AZ20" s="88">
        <v>44831</v>
      </c>
      <c r="BA20" s="8">
        <v>44838</v>
      </c>
      <c r="BB20" s="5">
        <v>44845</v>
      </c>
      <c r="BC20" s="65">
        <v>44852</v>
      </c>
      <c r="BD20" s="109">
        <v>44859</v>
      </c>
      <c r="BE20" s="111">
        <v>44866</v>
      </c>
      <c r="BF20" s="67">
        <v>44873</v>
      </c>
      <c r="BG20" s="68">
        <v>44880</v>
      </c>
      <c r="BH20" s="108">
        <v>44887</v>
      </c>
      <c r="BI20" s="112">
        <v>44894</v>
      </c>
      <c r="BJ20" s="86">
        <v>44901</v>
      </c>
      <c r="BK20" s="89">
        <v>44908</v>
      </c>
      <c r="BL20" s="87">
        <v>44915</v>
      </c>
      <c r="BM20" s="90">
        <v>44922</v>
      </c>
      <c r="BN20" s="11"/>
    </row>
    <row r="21" spans="1:66" ht="63" customHeight="1">
      <c r="A21" s="2"/>
      <c r="B21" s="36"/>
      <c r="C21" s="42"/>
      <c r="D21" s="37"/>
      <c r="E21" s="42">
        <v>6.1</v>
      </c>
      <c r="F21" s="38" t="s">
        <v>123</v>
      </c>
      <c r="G21" s="52">
        <v>44865</v>
      </c>
      <c r="H21" s="52">
        <v>44865</v>
      </c>
      <c r="I21" s="53">
        <f t="shared" ref="I21" si="5">NETWORKDAYS(G21,H21)</f>
        <v>1</v>
      </c>
      <c r="J21" s="49" t="s">
        <v>77</v>
      </c>
      <c r="K21" s="54">
        <v>2</v>
      </c>
      <c r="L21" s="58" t="s">
        <v>115</v>
      </c>
      <c r="M21" s="58" t="s">
        <v>85</v>
      </c>
      <c r="N21" s="5">
        <v>44564</v>
      </c>
      <c r="O21" s="64">
        <v>44572</v>
      </c>
      <c r="P21" s="65">
        <v>44579</v>
      </c>
      <c r="Q21" s="66">
        <v>44586</v>
      </c>
      <c r="R21" s="5">
        <v>44593</v>
      </c>
      <c r="S21" s="67">
        <v>44600</v>
      </c>
      <c r="T21" s="68">
        <v>44607</v>
      </c>
      <c r="U21" s="69">
        <v>44614</v>
      </c>
      <c r="V21" s="5">
        <v>44621</v>
      </c>
      <c r="W21" s="67">
        <v>44628</v>
      </c>
      <c r="X21" s="68">
        <v>44635</v>
      </c>
      <c r="Y21" s="70">
        <v>44642</v>
      </c>
      <c r="Z21" s="71">
        <v>44649</v>
      </c>
      <c r="AA21" s="72">
        <v>44656</v>
      </c>
      <c r="AB21" s="73">
        <v>44663</v>
      </c>
      <c r="AC21" s="74">
        <v>44670</v>
      </c>
      <c r="AD21" s="75">
        <v>44677</v>
      </c>
      <c r="AE21" s="76">
        <v>44684</v>
      </c>
      <c r="AF21" s="77">
        <v>44691</v>
      </c>
      <c r="AG21" s="78">
        <v>44698</v>
      </c>
      <c r="AH21" s="79">
        <v>44705</v>
      </c>
      <c r="AI21" s="80">
        <v>44712</v>
      </c>
      <c r="AJ21" s="5">
        <v>44719</v>
      </c>
      <c r="AK21" s="81">
        <v>44726</v>
      </c>
      <c r="AL21" s="82">
        <v>44733</v>
      </c>
      <c r="AM21" s="83">
        <v>44740</v>
      </c>
      <c r="AN21" s="72">
        <v>44747</v>
      </c>
      <c r="AO21" s="73">
        <v>44754</v>
      </c>
      <c r="AP21" s="74">
        <v>44761</v>
      </c>
      <c r="AQ21" s="94">
        <v>44768</v>
      </c>
      <c r="AR21" s="95">
        <v>44775</v>
      </c>
      <c r="AS21" s="84">
        <v>44782</v>
      </c>
      <c r="AT21" s="85">
        <v>44789</v>
      </c>
      <c r="AU21" s="96">
        <v>44796</v>
      </c>
      <c r="AV21" s="106">
        <v>44803</v>
      </c>
      <c r="AW21" s="86">
        <v>44810</v>
      </c>
      <c r="AX21" s="5">
        <v>44817</v>
      </c>
      <c r="AY21" s="87">
        <v>44824</v>
      </c>
      <c r="AZ21" s="88">
        <v>44831</v>
      </c>
      <c r="BA21" s="8">
        <v>44838</v>
      </c>
      <c r="BB21" s="5">
        <v>44845</v>
      </c>
      <c r="BC21" s="65">
        <v>44852</v>
      </c>
      <c r="BD21" s="109">
        <v>44859</v>
      </c>
      <c r="BE21" s="111">
        <v>44866</v>
      </c>
      <c r="BF21" s="67">
        <v>44873</v>
      </c>
      <c r="BG21" s="68">
        <v>44880</v>
      </c>
      <c r="BH21" s="108">
        <v>44887</v>
      </c>
      <c r="BI21" s="112">
        <v>44894</v>
      </c>
      <c r="BJ21" s="86">
        <v>44901</v>
      </c>
      <c r="BK21" s="89">
        <v>44908</v>
      </c>
      <c r="BL21" s="87">
        <v>44915</v>
      </c>
      <c r="BM21" s="90">
        <v>44922</v>
      </c>
      <c r="BN21" s="11"/>
    </row>
    <row r="22" spans="1:66" ht="15.5" customHeight="1">
      <c r="A22" s="2"/>
      <c r="B22" s="27"/>
      <c r="C22" s="40">
        <v>7</v>
      </c>
      <c r="D22" s="28" t="s">
        <v>103</v>
      </c>
      <c r="E22" s="41"/>
      <c r="F22" s="29"/>
      <c r="G22" s="55">
        <v>44911</v>
      </c>
      <c r="H22" s="55">
        <v>44925</v>
      </c>
      <c r="I22" s="56">
        <f>NETWORKDAYS(G22,H22)</f>
        <v>11</v>
      </c>
      <c r="J22" s="50"/>
      <c r="K22" s="57"/>
      <c r="L22" s="59"/>
      <c r="M22" s="59"/>
      <c r="N22" s="5">
        <v>44564</v>
      </c>
      <c r="O22" s="64">
        <v>44572</v>
      </c>
      <c r="P22" s="65">
        <v>44579</v>
      </c>
      <c r="Q22" s="66">
        <v>44586</v>
      </c>
      <c r="R22" s="5">
        <v>44593</v>
      </c>
      <c r="S22" s="67">
        <v>44600</v>
      </c>
      <c r="T22" s="68">
        <v>44607</v>
      </c>
      <c r="U22" s="69">
        <v>44614</v>
      </c>
      <c r="V22" s="5">
        <v>44621</v>
      </c>
      <c r="W22" s="67">
        <v>44628</v>
      </c>
      <c r="X22" s="68">
        <v>44635</v>
      </c>
      <c r="Y22" s="70">
        <v>44642</v>
      </c>
      <c r="Z22" s="71">
        <v>44649</v>
      </c>
      <c r="AA22" s="72">
        <v>44656</v>
      </c>
      <c r="AB22" s="73">
        <v>44663</v>
      </c>
      <c r="AC22" s="74">
        <v>44670</v>
      </c>
      <c r="AD22" s="75">
        <v>44677</v>
      </c>
      <c r="AE22" s="76">
        <v>44684</v>
      </c>
      <c r="AF22" s="77">
        <v>44691</v>
      </c>
      <c r="AG22" s="78">
        <v>44698</v>
      </c>
      <c r="AH22" s="79">
        <v>44705</v>
      </c>
      <c r="AI22" s="80">
        <v>44712</v>
      </c>
      <c r="AJ22" s="5">
        <v>44719</v>
      </c>
      <c r="AK22" s="81">
        <v>44726</v>
      </c>
      <c r="AL22" s="82">
        <v>44733</v>
      </c>
      <c r="AM22" s="83">
        <v>44740</v>
      </c>
      <c r="AN22" s="72">
        <v>44747</v>
      </c>
      <c r="AO22" s="73">
        <v>44754</v>
      </c>
      <c r="AP22" s="74">
        <v>44761</v>
      </c>
      <c r="AQ22" s="94">
        <v>44768</v>
      </c>
      <c r="AR22" s="95">
        <v>44775</v>
      </c>
      <c r="AS22" s="84">
        <v>44782</v>
      </c>
      <c r="AT22" s="85">
        <v>44789</v>
      </c>
      <c r="AU22" s="96">
        <v>44796</v>
      </c>
      <c r="AV22" s="106">
        <v>44803</v>
      </c>
      <c r="AW22" s="86">
        <v>44810</v>
      </c>
      <c r="AX22" s="5">
        <v>44817</v>
      </c>
      <c r="AY22" s="87">
        <v>44824</v>
      </c>
      <c r="AZ22" s="88">
        <v>44831</v>
      </c>
      <c r="BA22" s="8">
        <v>44838</v>
      </c>
      <c r="BB22" s="5">
        <v>44845</v>
      </c>
      <c r="BC22" s="65">
        <v>44852</v>
      </c>
      <c r="BD22" s="109">
        <v>44859</v>
      </c>
      <c r="BE22" s="111">
        <v>44866</v>
      </c>
      <c r="BF22" s="67">
        <v>44873</v>
      </c>
      <c r="BG22" s="68">
        <v>44880</v>
      </c>
      <c r="BH22" s="108">
        <v>44887</v>
      </c>
      <c r="BI22" s="112">
        <v>44894</v>
      </c>
      <c r="BJ22" s="86">
        <v>44901</v>
      </c>
      <c r="BK22" s="89">
        <v>44908</v>
      </c>
      <c r="BL22" s="87">
        <v>44915</v>
      </c>
      <c r="BM22" s="90">
        <v>44922</v>
      </c>
      <c r="BN22" s="11"/>
    </row>
    <row r="23" spans="1:66" ht="25.25" customHeight="1">
      <c r="A23" s="2"/>
      <c r="B23" s="36"/>
      <c r="C23" s="42"/>
      <c r="D23" s="37"/>
      <c r="E23" s="42">
        <v>7.1</v>
      </c>
      <c r="F23" s="61" t="s">
        <v>93</v>
      </c>
      <c r="G23" s="52">
        <v>44911</v>
      </c>
      <c r="H23" s="52">
        <v>44919</v>
      </c>
      <c r="I23" s="53">
        <f>NETWORKDAYS(G23,H23)</f>
        <v>6</v>
      </c>
      <c r="J23" s="51" t="s">
        <v>77</v>
      </c>
      <c r="K23" s="54">
        <v>3</v>
      </c>
      <c r="L23" s="58" t="s">
        <v>96</v>
      </c>
      <c r="M23" s="58" t="s">
        <v>86</v>
      </c>
      <c r="N23" s="5">
        <v>44564</v>
      </c>
      <c r="O23" s="64">
        <v>44572</v>
      </c>
      <c r="P23" s="65">
        <v>44579</v>
      </c>
      <c r="Q23" s="66">
        <v>44586</v>
      </c>
      <c r="R23" s="5">
        <v>44593</v>
      </c>
      <c r="S23" s="67">
        <v>44600</v>
      </c>
      <c r="T23" s="68">
        <v>44607</v>
      </c>
      <c r="U23" s="69">
        <v>44614</v>
      </c>
      <c r="V23" s="5">
        <v>44621</v>
      </c>
      <c r="W23" s="67">
        <v>44628</v>
      </c>
      <c r="X23" s="68">
        <v>44635</v>
      </c>
      <c r="Y23" s="70">
        <v>44642</v>
      </c>
      <c r="Z23" s="71">
        <v>44649</v>
      </c>
      <c r="AA23" s="72">
        <v>44656</v>
      </c>
      <c r="AB23" s="73">
        <v>44663</v>
      </c>
      <c r="AC23" s="74">
        <v>44670</v>
      </c>
      <c r="AD23" s="75">
        <v>44677</v>
      </c>
      <c r="AE23" s="76">
        <v>44684</v>
      </c>
      <c r="AF23" s="77">
        <v>44691</v>
      </c>
      <c r="AG23" s="78">
        <v>44698</v>
      </c>
      <c r="AH23" s="79">
        <v>44705</v>
      </c>
      <c r="AI23" s="80">
        <v>44712</v>
      </c>
      <c r="AJ23" s="5">
        <v>44719</v>
      </c>
      <c r="AK23" s="81">
        <v>44726</v>
      </c>
      <c r="AL23" s="82">
        <v>44733</v>
      </c>
      <c r="AM23" s="83">
        <v>44740</v>
      </c>
      <c r="AN23" s="72">
        <v>44747</v>
      </c>
      <c r="AO23" s="73">
        <v>44754</v>
      </c>
      <c r="AP23" s="74">
        <v>44761</v>
      </c>
      <c r="AQ23" s="94">
        <v>44768</v>
      </c>
      <c r="AR23" s="95">
        <v>44775</v>
      </c>
      <c r="AS23" s="84">
        <v>44782</v>
      </c>
      <c r="AT23" s="85">
        <v>44789</v>
      </c>
      <c r="AU23" s="96">
        <v>44796</v>
      </c>
      <c r="AV23" s="106">
        <v>44803</v>
      </c>
      <c r="AW23" s="86">
        <v>44810</v>
      </c>
      <c r="AX23" s="5">
        <v>44817</v>
      </c>
      <c r="AY23" s="87">
        <v>44824</v>
      </c>
      <c r="AZ23" s="88">
        <v>44831</v>
      </c>
      <c r="BA23" s="8">
        <v>44838</v>
      </c>
      <c r="BB23" s="5">
        <v>44845</v>
      </c>
      <c r="BC23" s="65">
        <v>44852</v>
      </c>
      <c r="BD23" s="109">
        <v>44859</v>
      </c>
      <c r="BE23" s="111">
        <v>44866</v>
      </c>
      <c r="BF23" s="67">
        <v>44873</v>
      </c>
      <c r="BG23" s="68">
        <v>44880</v>
      </c>
      <c r="BH23" s="108">
        <v>44887</v>
      </c>
      <c r="BI23" s="112">
        <v>44894</v>
      </c>
      <c r="BJ23" s="86">
        <v>44901</v>
      </c>
      <c r="BK23" s="89">
        <v>44908</v>
      </c>
      <c r="BL23" s="87">
        <v>44915</v>
      </c>
      <c r="BM23" s="90">
        <v>44922</v>
      </c>
      <c r="BN23" s="11"/>
    </row>
    <row r="24" spans="1:66" ht="25.25" customHeight="1">
      <c r="A24" s="2"/>
      <c r="B24" s="36"/>
      <c r="C24" s="42"/>
      <c r="D24" s="37"/>
      <c r="E24" s="42">
        <v>7.2</v>
      </c>
      <c r="F24" s="61" t="s">
        <v>92</v>
      </c>
      <c r="G24" s="52">
        <v>44917</v>
      </c>
      <c r="H24" s="52">
        <v>44925</v>
      </c>
      <c r="I24" s="53">
        <f t="shared" ref="I24" si="6">NETWORKDAYS(G24,H24)</f>
        <v>7</v>
      </c>
      <c r="J24" s="49" t="s">
        <v>77</v>
      </c>
      <c r="K24" s="54">
        <v>2</v>
      </c>
      <c r="L24" s="58" t="s">
        <v>110</v>
      </c>
      <c r="M24" s="58" t="s">
        <v>84</v>
      </c>
      <c r="N24" s="5">
        <v>44564</v>
      </c>
      <c r="O24" s="64">
        <v>44572</v>
      </c>
      <c r="P24" s="65">
        <v>44579</v>
      </c>
      <c r="Q24" s="66">
        <v>44586</v>
      </c>
      <c r="R24" s="5">
        <v>44593</v>
      </c>
      <c r="S24" s="67">
        <v>44600</v>
      </c>
      <c r="T24" s="68">
        <v>44607</v>
      </c>
      <c r="U24" s="69">
        <v>44614</v>
      </c>
      <c r="V24" s="5">
        <v>44621</v>
      </c>
      <c r="W24" s="67">
        <v>44628</v>
      </c>
      <c r="X24" s="68">
        <v>44635</v>
      </c>
      <c r="Y24" s="70">
        <v>44642</v>
      </c>
      <c r="Z24" s="71">
        <v>44649</v>
      </c>
      <c r="AA24" s="72">
        <v>44656</v>
      </c>
      <c r="AB24" s="73">
        <v>44663</v>
      </c>
      <c r="AC24" s="74">
        <v>44670</v>
      </c>
      <c r="AD24" s="75">
        <v>44677</v>
      </c>
      <c r="AE24" s="76">
        <v>44684</v>
      </c>
      <c r="AF24" s="77">
        <v>44691</v>
      </c>
      <c r="AG24" s="78">
        <v>44698</v>
      </c>
      <c r="AH24" s="79">
        <v>44705</v>
      </c>
      <c r="AI24" s="80">
        <v>44712</v>
      </c>
      <c r="AJ24" s="5">
        <v>44719</v>
      </c>
      <c r="AK24" s="81">
        <v>44726</v>
      </c>
      <c r="AL24" s="82">
        <v>44733</v>
      </c>
      <c r="AM24" s="83">
        <v>44740</v>
      </c>
      <c r="AN24" s="72">
        <v>44747</v>
      </c>
      <c r="AO24" s="73">
        <v>44754</v>
      </c>
      <c r="AP24" s="74">
        <v>44761</v>
      </c>
      <c r="AQ24" s="94">
        <v>44768</v>
      </c>
      <c r="AR24" s="95">
        <v>44775</v>
      </c>
      <c r="AS24" s="84">
        <v>44782</v>
      </c>
      <c r="AT24" s="85">
        <v>44789</v>
      </c>
      <c r="AU24" s="96">
        <v>44796</v>
      </c>
      <c r="AV24" s="106">
        <v>44803</v>
      </c>
      <c r="AW24" s="86">
        <v>44810</v>
      </c>
      <c r="AX24" s="5">
        <v>44817</v>
      </c>
      <c r="AY24" s="87">
        <v>44824</v>
      </c>
      <c r="AZ24" s="88">
        <v>44831</v>
      </c>
      <c r="BA24" s="8">
        <v>44838</v>
      </c>
      <c r="BB24" s="5">
        <v>44845</v>
      </c>
      <c r="BC24" s="65">
        <v>44852</v>
      </c>
      <c r="BD24" s="109">
        <v>44859</v>
      </c>
      <c r="BE24" s="111">
        <v>44866</v>
      </c>
      <c r="BF24" s="67">
        <v>44873</v>
      </c>
      <c r="BG24" s="68">
        <v>44880</v>
      </c>
      <c r="BH24" s="108">
        <v>44887</v>
      </c>
      <c r="BI24" s="112">
        <v>44894</v>
      </c>
      <c r="BJ24" s="86">
        <v>44901</v>
      </c>
      <c r="BK24" s="89">
        <v>44908</v>
      </c>
      <c r="BL24" s="87">
        <v>44915</v>
      </c>
      <c r="BM24" s="90">
        <v>44922</v>
      </c>
      <c r="BN24" s="11"/>
    </row>
    <row r="25" spans="1:66" ht="15.5" customHeight="1">
      <c r="A25" s="2"/>
      <c r="B25" s="27"/>
      <c r="C25" s="40">
        <v>8</v>
      </c>
      <c r="D25" s="28" t="s">
        <v>104</v>
      </c>
      <c r="E25" s="41"/>
      <c r="F25" s="29"/>
      <c r="G25" s="55">
        <v>44911</v>
      </c>
      <c r="H25" s="55">
        <v>44925</v>
      </c>
      <c r="I25" s="56">
        <f>NETWORKDAYS(G25,H25)</f>
        <v>11</v>
      </c>
      <c r="J25" s="50"/>
      <c r="K25" s="57"/>
      <c r="L25" s="59"/>
      <c r="M25" s="59"/>
      <c r="N25" s="5">
        <v>44564</v>
      </c>
      <c r="O25" s="64">
        <v>44572</v>
      </c>
      <c r="P25" s="65">
        <v>44579</v>
      </c>
      <c r="Q25" s="66">
        <v>44586</v>
      </c>
      <c r="R25" s="5">
        <v>44593</v>
      </c>
      <c r="S25" s="67">
        <v>44600</v>
      </c>
      <c r="T25" s="68">
        <v>44607</v>
      </c>
      <c r="U25" s="69">
        <v>44614</v>
      </c>
      <c r="V25" s="5">
        <v>44621</v>
      </c>
      <c r="W25" s="67">
        <v>44628</v>
      </c>
      <c r="X25" s="68">
        <v>44635</v>
      </c>
      <c r="Y25" s="70">
        <v>44642</v>
      </c>
      <c r="Z25" s="71">
        <v>44649</v>
      </c>
      <c r="AA25" s="72">
        <v>44656</v>
      </c>
      <c r="AB25" s="73">
        <v>44663</v>
      </c>
      <c r="AC25" s="74">
        <v>44670</v>
      </c>
      <c r="AD25" s="75">
        <v>44677</v>
      </c>
      <c r="AE25" s="76">
        <v>44684</v>
      </c>
      <c r="AF25" s="77">
        <v>44691</v>
      </c>
      <c r="AG25" s="78">
        <v>44698</v>
      </c>
      <c r="AH25" s="79">
        <v>44705</v>
      </c>
      <c r="AI25" s="80">
        <v>44712</v>
      </c>
      <c r="AJ25" s="5">
        <v>44719</v>
      </c>
      <c r="AK25" s="81">
        <v>44726</v>
      </c>
      <c r="AL25" s="82">
        <v>44733</v>
      </c>
      <c r="AM25" s="83">
        <v>44740</v>
      </c>
      <c r="AN25" s="72">
        <v>44747</v>
      </c>
      <c r="AO25" s="73">
        <v>44754</v>
      </c>
      <c r="AP25" s="74">
        <v>44761</v>
      </c>
      <c r="AQ25" s="94">
        <v>44768</v>
      </c>
      <c r="AR25" s="95">
        <v>44775</v>
      </c>
      <c r="AS25" s="84">
        <v>44782</v>
      </c>
      <c r="AT25" s="85">
        <v>44789</v>
      </c>
      <c r="AU25" s="96">
        <v>44796</v>
      </c>
      <c r="AV25" s="106">
        <v>44803</v>
      </c>
      <c r="AW25" s="86">
        <v>44810</v>
      </c>
      <c r="AX25" s="5">
        <v>44817</v>
      </c>
      <c r="AY25" s="87">
        <v>44824</v>
      </c>
      <c r="AZ25" s="88">
        <v>44831</v>
      </c>
      <c r="BA25" s="8">
        <v>44838</v>
      </c>
      <c r="BB25" s="5">
        <v>44845</v>
      </c>
      <c r="BC25" s="65">
        <v>44852</v>
      </c>
      <c r="BD25" s="109">
        <v>44859</v>
      </c>
      <c r="BE25" s="111">
        <v>44866</v>
      </c>
      <c r="BF25" s="67">
        <v>44873</v>
      </c>
      <c r="BG25" s="68">
        <v>44880</v>
      </c>
      <c r="BH25" s="108">
        <v>44887</v>
      </c>
      <c r="BI25" s="112">
        <v>44894</v>
      </c>
      <c r="BJ25" s="86">
        <v>44901</v>
      </c>
      <c r="BK25" s="89">
        <v>44908</v>
      </c>
      <c r="BL25" s="87">
        <v>44915</v>
      </c>
      <c r="BM25" s="90">
        <v>44922</v>
      </c>
      <c r="BN25" s="11"/>
    </row>
    <row r="26" spans="1:66" ht="51.5" customHeight="1">
      <c r="A26" s="2"/>
      <c r="B26" s="36"/>
      <c r="C26" s="42"/>
      <c r="D26" s="37"/>
      <c r="E26" s="42">
        <v>8.1</v>
      </c>
      <c r="F26" s="38" t="s">
        <v>94</v>
      </c>
      <c r="G26" s="52">
        <v>44911</v>
      </c>
      <c r="H26" s="52">
        <v>44925</v>
      </c>
      <c r="I26" s="53">
        <f t="shared" ref="I26" si="7">NETWORKDAYS(G26,H26)</f>
        <v>11</v>
      </c>
      <c r="J26" s="51" t="s">
        <v>77</v>
      </c>
      <c r="K26" s="54">
        <v>2</v>
      </c>
      <c r="L26" s="58" t="s">
        <v>105</v>
      </c>
      <c r="M26" s="58" t="s">
        <v>112</v>
      </c>
      <c r="N26" s="5">
        <v>44564</v>
      </c>
      <c r="O26" s="64">
        <v>44572</v>
      </c>
      <c r="P26" s="65">
        <v>44579</v>
      </c>
      <c r="Q26" s="66">
        <v>44586</v>
      </c>
      <c r="R26" s="5">
        <v>44593</v>
      </c>
      <c r="S26" s="67">
        <v>44600</v>
      </c>
      <c r="T26" s="68">
        <v>44607</v>
      </c>
      <c r="U26" s="69">
        <v>44614</v>
      </c>
      <c r="V26" s="5">
        <v>44621</v>
      </c>
      <c r="W26" s="67">
        <v>44628</v>
      </c>
      <c r="X26" s="68">
        <v>44635</v>
      </c>
      <c r="Y26" s="70">
        <v>44642</v>
      </c>
      <c r="Z26" s="71">
        <v>44649</v>
      </c>
      <c r="AA26" s="72">
        <v>44656</v>
      </c>
      <c r="AB26" s="73">
        <v>44663</v>
      </c>
      <c r="AC26" s="74">
        <v>44670</v>
      </c>
      <c r="AD26" s="75">
        <v>44677</v>
      </c>
      <c r="AE26" s="76">
        <v>44684</v>
      </c>
      <c r="AF26" s="77">
        <v>44691</v>
      </c>
      <c r="AG26" s="78">
        <v>44698</v>
      </c>
      <c r="AH26" s="79">
        <v>44705</v>
      </c>
      <c r="AI26" s="80">
        <v>44712</v>
      </c>
      <c r="AJ26" s="5">
        <v>44719</v>
      </c>
      <c r="AK26" s="81">
        <v>44726</v>
      </c>
      <c r="AL26" s="82">
        <v>44733</v>
      </c>
      <c r="AM26" s="83">
        <v>44740</v>
      </c>
      <c r="AN26" s="72">
        <v>44747</v>
      </c>
      <c r="AO26" s="73">
        <v>44754</v>
      </c>
      <c r="AP26" s="74">
        <v>44761</v>
      </c>
      <c r="AQ26" s="94">
        <v>44768</v>
      </c>
      <c r="AR26" s="95">
        <v>44775</v>
      </c>
      <c r="AS26" s="84">
        <v>44782</v>
      </c>
      <c r="AT26" s="85">
        <v>44789</v>
      </c>
      <c r="AU26" s="96">
        <v>44796</v>
      </c>
      <c r="AV26" s="106">
        <v>44803</v>
      </c>
      <c r="AW26" s="86">
        <v>44810</v>
      </c>
      <c r="AX26" s="5">
        <v>44817</v>
      </c>
      <c r="AY26" s="87">
        <v>44824</v>
      </c>
      <c r="AZ26" s="88">
        <v>44831</v>
      </c>
      <c r="BA26" s="8">
        <v>44838</v>
      </c>
      <c r="BB26" s="5">
        <v>44845</v>
      </c>
      <c r="BC26" s="65">
        <v>44852</v>
      </c>
      <c r="BD26" s="109">
        <v>44859</v>
      </c>
      <c r="BE26" s="111">
        <v>44866</v>
      </c>
      <c r="BF26" s="67">
        <v>44873</v>
      </c>
      <c r="BG26" s="68">
        <v>44880</v>
      </c>
      <c r="BH26" s="108">
        <v>44887</v>
      </c>
      <c r="BI26" s="112">
        <v>44894</v>
      </c>
      <c r="BJ26" s="86">
        <v>44901</v>
      </c>
      <c r="BK26" s="89">
        <v>44908</v>
      </c>
      <c r="BL26" s="87">
        <v>44915</v>
      </c>
      <c r="BM26" s="90">
        <v>44922</v>
      </c>
      <c r="BN26" s="11"/>
    </row>
    <row r="27" spans="1:66" ht="53.5" customHeight="1">
      <c r="E27" s="62">
        <v>8.1999999999999993</v>
      </c>
      <c r="F27" s="63" t="s">
        <v>95</v>
      </c>
      <c r="G27" s="52">
        <v>44920</v>
      </c>
      <c r="H27" s="52">
        <v>44925</v>
      </c>
      <c r="I27" s="53">
        <f t="shared" ref="I27" si="8">NETWORKDAYS(G27,H27)</f>
        <v>5</v>
      </c>
      <c r="J27" s="51" t="s">
        <v>77</v>
      </c>
      <c r="K27" s="54">
        <v>1</v>
      </c>
      <c r="L27" s="4" t="s">
        <v>111</v>
      </c>
      <c r="M27" s="4" t="s">
        <v>112</v>
      </c>
      <c r="N27" s="5">
        <v>44564</v>
      </c>
      <c r="O27" s="64">
        <v>44572</v>
      </c>
      <c r="P27" s="65">
        <v>44579</v>
      </c>
      <c r="Q27" s="66">
        <v>44586</v>
      </c>
      <c r="R27" s="5">
        <v>44593</v>
      </c>
      <c r="S27" s="67">
        <v>44600</v>
      </c>
      <c r="T27" s="68">
        <v>44607</v>
      </c>
      <c r="U27" s="69">
        <v>44614</v>
      </c>
      <c r="V27" s="5">
        <v>44621</v>
      </c>
      <c r="W27" s="67">
        <v>44628</v>
      </c>
      <c r="X27" s="68">
        <v>44635</v>
      </c>
      <c r="Y27" s="70">
        <v>44642</v>
      </c>
      <c r="Z27" s="71">
        <v>44649</v>
      </c>
      <c r="AA27" s="72">
        <v>44656</v>
      </c>
      <c r="AB27" s="73">
        <v>44663</v>
      </c>
      <c r="AC27" s="74">
        <v>44670</v>
      </c>
      <c r="AD27" s="75">
        <v>44677</v>
      </c>
      <c r="AE27" s="76">
        <v>44684</v>
      </c>
      <c r="AF27" s="77">
        <v>44691</v>
      </c>
      <c r="AG27" s="78">
        <v>44698</v>
      </c>
      <c r="AH27" s="79">
        <v>44705</v>
      </c>
      <c r="AI27" s="80">
        <v>44712</v>
      </c>
      <c r="AJ27" s="5">
        <v>44719</v>
      </c>
      <c r="AK27" s="81">
        <v>44726</v>
      </c>
      <c r="AL27" s="82">
        <v>44733</v>
      </c>
      <c r="AM27" s="83">
        <v>44740</v>
      </c>
      <c r="AN27" s="72">
        <v>44747</v>
      </c>
      <c r="AO27" s="73">
        <v>44754</v>
      </c>
      <c r="AP27" s="74">
        <v>44761</v>
      </c>
      <c r="AQ27" s="94">
        <v>44768</v>
      </c>
      <c r="AR27" s="97">
        <v>44775</v>
      </c>
      <c r="AS27" s="98">
        <v>44782</v>
      </c>
      <c r="AT27" s="99">
        <v>44789</v>
      </c>
      <c r="AU27" s="100">
        <v>44796</v>
      </c>
      <c r="AV27" s="107">
        <v>44803</v>
      </c>
      <c r="AW27" s="86">
        <v>44810</v>
      </c>
      <c r="AX27" s="5">
        <v>44817</v>
      </c>
      <c r="AY27" s="87">
        <v>44824</v>
      </c>
      <c r="AZ27" s="88">
        <v>44831</v>
      </c>
      <c r="BA27" s="8">
        <v>44838</v>
      </c>
      <c r="BB27" s="5">
        <v>44845</v>
      </c>
      <c r="BC27" s="65">
        <v>44852</v>
      </c>
      <c r="BD27" s="109">
        <v>44859</v>
      </c>
      <c r="BE27" s="113">
        <v>44866</v>
      </c>
      <c r="BF27" s="114">
        <v>44873</v>
      </c>
      <c r="BG27" s="115">
        <v>44880</v>
      </c>
      <c r="BH27" s="116">
        <v>44887</v>
      </c>
      <c r="BI27" s="117">
        <v>44894</v>
      </c>
      <c r="BJ27" s="86">
        <v>44901</v>
      </c>
      <c r="BK27" s="89">
        <v>44908</v>
      </c>
      <c r="BL27" s="87">
        <v>44915</v>
      </c>
      <c r="BM27" s="90">
        <v>44922</v>
      </c>
      <c r="BN27" s="11"/>
    </row>
    <row r="32" spans="1:66">
      <c r="J32" s="49" t="s">
        <v>81</v>
      </c>
    </row>
    <row r="33" spans="10:10">
      <c r="J33" s="49" t="s">
        <v>67</v>
      </c>
    </row>
    <row r="34" spans="10:10">
      <c r="J34" s="49" t="s">
        <v>77</v>
      </c>
    </row>
  </sheetData>
  <mergeCells count="22">
    <mergeCell ref="K3:K5"/>
    <mergeCell ref="L3:L5"/>
    <mergeCell ref="M3:M5"/>
    <mergeCell ref="AA4:AD4"/>
    <mergeCell ref="AN4:AQ4"/>
    <mergeCell ref="AE4:AI4"/>
    <mergeCell ref="AJ4:AM4"/>
    <mergeCell ref="H1:I1"/>
    <mergeCell ref="B3:B5"/>
    <mergeCell ref="C3:F5"/>
    <mergeCell ref="G3:I4"/>
    <mergeCell ref="J3:J5"/>
    <mergeCell ref="BN3:BN5"/>
    <mergeCell ref="N4:Q4"/>
    <mergeCell ref="R4:U4"/>
    <mergeCell ref="V4:Z4"/>
    <mergeCell ref="N3:BM3"/>
    <mergeCell ref="BA4:BD4"/>
    <mergeCell ref="AW4:AZ4"/>
    <mergeCell ref="AR4:AV4"/>
    <mergeCell ref="BE4:BI4"/>
    <mergeCell ref="BJ4:BM4"/>
  </mergeCells>
  <phoneticPr fontId="1" type="noConversion"/>
  <conditionalFormatting sqref="J7:J14 J20:J27">
    <cfRule type="cellIs" dxfId="4" priority="45" operator="equal">
      <formula>"지연중"</formula>
    </cfRule>
    <cfRule type="cellIs" dxfId="3" priority="46" operator="equal">
      <formula>"진행중"</formula>
    </cfRule>
    <cfRule type="cellIs" dxfId="2" priority="47" operator="equal">
      <formula>"완료"</formula>
    </cfRule>
  </conditionalFormatting>
  <conditionalFormatting sqref="J16">
    <cfRule type="cellIs" dxfId="21" priority="37" operator="equal">
      <formula>"지연중"</formula>
    </cfRule>
    <cfRule type="cellIs" dxfId="20" priority="38" operator="equal">
      <formula>"진행중"</formula>
    </cfRule>
    <cfRule type="cellIs" dxfId="19" priority="39" operator="equal">
      <formula>"완료"</formula>
    </cfRule>
  </conditionalFormatting>
  <conditionalFormatting sqref="J18">
    <cfRule type="cellIs" dxfId="18" priority="29" operator="equal">
      <formula>"지연중"</formula>
    </cfRule>
    <cfRule type="cellIs" dxfId="17" priority="30" operator="equal">
      <formula>"진행중"</formula>
    </cfRule>
    <cfRule type="cellIs" dxfId="16" priority="31" operator="equal">
      <formula>"완료"</formula>
    </cfRule>
  </conditionalFormatting>
  <conditionalFormatting sqref="N6:BM6">
    <cfRule type="cellIs" dxfId="15" priority="179" operator="between">
      <formula>$G6</formula>
      <formula>$H6</formula>
    </cfRule>
  </conditionalFormatting>
  <conditionalFormatting sqref="N7:BM7 N12:BM12 N22:BM22 N25:BM25">
    <cfRule type="cellIs" dxfId="14" priority="180" operator="between">
      <formula>$G7</formula>
      <formula>$H7</formula>
    </cfRule>
  </conditionalFormatting>
  <conditionalFormatting sqref="N8:BM11 N13:BM13 N15:BM15 N21:BM21">
    <cfRule type="cellIs" dxfId="13" priority="83" operator="between">
      <formula>$G8</formula>
      <formula>$H8</formula>
    </cfRule>
  </conditionalFormatting>
  <conditionalFormatting sqref="N14:BM14">
    <cfRule type="cellIs" dxfId="12" priority="48" operator="between">
      <formula>$G14</formula>
      <formula>$H14</formula>
    </cfRule>
  </conditionalFormatting>
  <conditionalFormatting sqref="N17:BM17 N19:BM19 N23:BM24 N26:BM27">
    <cfRule type="cellIs" dxfId="11" priority="181" operator="between">
      <formula>$G17</formula>
      <formula>$H17</formula>
    </cfRule>
  </conditionalFormatting>
  <conditionalFormatting sqref="N16:BM16">
    <cfRule type="cellIs" dxfId="10" priority="40" operator="between">
      <formula>$G16</formula>
      <formula>$H16</formula>
    </cfRule>
  </conditionalFormatting>
  <conditionalFormatting sqref="N18:BM18">
    <cfRule type="cellIs" dxfId="9" priority="32" operator="between">
      <formula>$G18</formula>
      <formula>$H18</formula>
    </cfRule>
  </conditionalFormatting>
  <conditionalFormatting sqref="N20:BM20">
    <cfRule type="cellIs" dxfId="8" priority="24" operator="between">
      <formula>$G20</formula>
      <formula>$H20</formula>
    </cfRule>
  </conditionalFormatting>
  <conditionalFormatting sqref="J32:J34">
    <cfRule type="cellIs" dxfId="7" priority="1" operator="equal">
      <formula>"지연중"</formula>
    </cfRule>
    <cfRule type="cellIs" dxfId="6" priority="2" operator="equal">
      <formula>"진행중"</formula>
    </cfRule>
    <cfRule type="cellIs" dxfId="5" priority="3" operator="equal">
      <formula>"완료"</formula>
    </cfRule>
  </conditionalFormatting>
  <pageMargins left="0.23622047244094491" right="0.23622047244094491" top="0.74803149606299213" bottom="0.74803149606299213" header="0.31496062992125984" footer="0.31496062992125984"/>
  <pageSetup paperSize="9" scale="71" fitToHeight="0"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문서변경이력</vt:lpstr>
      <vt:lpstr>자율주행 로봇 개발_WBS</vt:lpstr>
      <vt:lpstr>'자율주행 로봇 개발_WBS'!Print_Area</vt:lpstr>
      <vt:lpstr>'자율주행 로봇 개발_WBS'!Print_Titles</vt:lpstr>
    </vt:vector>
  </TitlesOfParts>
  <Company>Mando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Mando</dc:creator>
  <cp:lastModifiedBy>김현준</cp:lastModifiedBy>
  <cp:lastPrinted>2018-11-02T01:24:06Z</cp:lastPrinted>
  <dcterms:created xsi:type="dcterms:W3CDTF">2018-01-12T01:22:38Z</dcterms:created>
  <dcterms:modified xsi:type="dcterms:W3CDTF">2026-04-08T08:37:41Z</dcterms:modified>
</cp:coreProperties>
</file>